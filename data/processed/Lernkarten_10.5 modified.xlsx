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anki\r_anki\data\processed\"/>
    </mc:Choice>
  </mc:AlternateContent>
  <xr:revisionPtr revIDLastSave="0" documentId="14_{CF8CC97C-27CE-4F70-9095-AF429F3A7DD8}" xr6:coauthVersionLast="47" xr6:coauthVersionMax="47" xr10:uidLastSave="{00000000-0000-0000-0000-000000000000}"/>
  <bookViews>
    <workbookView xWindow="-120" yWindow="-120" windowWidth="29040" windowHeight="15840" tabRatio="500" activeTab="4" xr2:uid="{00000000-000D-0000-FFFF-FFFF00000000}"/>
  </bookViews>
  <sheets>
    <sheet name="Kardiovaskuläre Erkrankungen" sheetId="1" r:id="rId1"/>
    <sheet name="Antiinfektiva" sheetId="2" r:id="rId2"/>
    <sheet name="metabolisches System" sheetId="3" r:id="rId3"/>
    <sheet name="Neurologische und Psychiatrisch" sheetId="4" r:id="rId4"/>
    <sheet name="Endokrine Erkrankungen" sheetId="5" r:id="rId5"/>
    <sheet name="Tumortherapeutika und Immunther" sheetId="6" r:id="rId6"/>
    <sheet name="Atemwegserkrankungen" sheetId="7" r:id="rId7"/>
    <sheet name="Gastrointestinaltrakt" sheetId="8" r:id="rId8"/>
    <sheet name="Schmerztherapie" sheetId="9" r:id="rId9"/>
    <sheet name="Augenheilkunde" sheetId="10" r:id="rId10"/>
    <sheet name="Gynäkologika und Urologika" sheetId="11" r:id="rId11"/>
  </sheet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X6" i="5" l="1"/>
  <c r="Y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Q15" authorId="0" shapeId="0" xr:uid="{00000000-0006-0000-0000-000001000000}">
      <text>
        <r>
          <rPr>
            <sz val="11"/>
            <color rgb="FF000000"/>
            <rFont val="Calibri"/>
            <family val="2"/>
            <charset val="1"/>
          </rPr>
          <t>Änderung der Zuordnung zu Basis/Experte
Streichen: "SS/SZ...
Intoxikation statt Intoxiaktion
einfügen "der 1. Wahl"
"geringe" statt gringe</t>
        </r>
      </text>
    </comment>
    <comment ref="S26" authorId="0" shapeId="0" xr:uid="{00000000-0006-0000-0000-000002000000}">
      <text>
        <r>
          <rPr>
            <sz val="11"/>
            <color rgb="FF000000"/>
            <rFont val="Calibri"/>
            <family val="2"/>
            <charset val="1"/>
          </rPr>
          <t>Passt das Bild hier?</t>
        </r>
      </text>
    </comment>
    <comment ref="S29" authorId="0" shapeId="0" xr:uid="{00000000-0006-0000-0000-000003000000}">
      <text>
        <r>
          <rPr>
            <sz val="11"/>
            <color rgb="FF000000"/>
            <rFont val="Calibri"/>
            <family val="2"/>
            <charset val="1"/>
          </rPr>
          <t>Das Bild war im Mutschler zu Vitamin-K-Antagonisten. Ich finde es wenig sagend, habe aber online kein deutlich besseres gefunden. Findest du das sinnvoll?</t>
        </r>
      </text>
    </comment>
    <comment ref="S32" authorId="0" shapeId="0" xr:uid="{00000000-0006-0000-0000-000004000000}">
      <text>
        <r>
          <rPr>
            <sz val="11"/>
            <color rgb="FF000000"/>
            <rFont val="Calibri"/>
            <family val="2"/>
            <charset val="1"/>
          </rPr>
          <t>Das sind mehrere Schaubilder, vielleicht kannst du das passendste aussuchen oder man macht mehrere Bilder auf die Karten?</t>
        </r>
      </text>
    </comment>
    <comment ref="S34" authorId="0" shapeId="0" xr:uid="{00000000-0006-0000-0000-000005000000}">
      <text>
        <r>
          <rPr>
            <sz val="11"/>
            <color rgb="FF000000"/>
            <rFont val="Calibri"/>
            <family val="2"/>
            <charset val="1"/>
          </rPr>
          <t>Das sind mehrere Schaubilder, vielleicht kannst du das passendste aussuchen oder man macht mehrere Bilder auf die Karten?</t>
        </r>
      </text>
    </comment>
    <comment ref="S36" authorId="0" shapeId="0" xr:uid="{00000000-0006-0000-0000-000006000000}">
      <text>
        <r>
          <rPr>
            <sz val="11"/>
            <color rgb="FF000000"/>
            <rFont val="Calibri"/>
            <family val="2"/>
            <charset val="1"/>
          </rPr>
          <t>Passt das Bild hier?</t>
        </r>
      </text>
    </comment>
    <comment ref="S37" authorId="0" shapeId="0" xr:uid="{00000000-0006-0000-0000-000007000000}">
      <text>
        <r>
          <rPr>
            <sz val="11"/>
            <color rgb="FF000000"/>
            <rFont val="Calibri"/>
            <family val="2"/>
            <charset val="1"/>
          </rPr>
          <t>Ist diese Grafik hilfreich? 
Sie ist halt auf Englisch. Ist das ein Problem?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300-000001000000}">
      <text>
        <r>
          <rPr>
            <sz val="10"/>
            <rFont val="Arial"/>
            <charset val="1"/>
          </rPr>
          <t>Die Trennung von neurologischen und psychiatrischen Erkrankungen stimmt nicht ganz. Ich würde vorschlagen, dass wir daraus einen Stapel "Neurologische und psychiatrische Erkrankungen" machen.</t>
        </r>
      </text>
    </comment>
    <comment ref="E3" authorId="0" shapeId="0" xr:uid="{00000000-0006-0000-0300-000002000000}">
      <text>
        <r>
          <rPr>
            <sz val="10"/>
            <rFont val="Arial"/>
            <charset val="1"/>
          </rPr>
          <t>Bitte bei allen Karten auch IMPP-System, IMPP-Gruppe sowie Hauptindikationen als Schlagwörter hinzufügen</t>
        </r>
      </text>
    </comment>
    <comment ref="L47" authorId="0" shapeId="0" xr:uid="{00000000-0006-0000-0300-000003000000}">
      <text>
        <r>
          <rPr>
            <sz val="11"/>
            <color rgb="FF000000"/>
            <rFont val="Calibri"/>
            <family val="2"/>
            <charset val="1"/>
          </rPr>
          <t>Fehlt hier nicht die Bipolare Störung?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E4" authorId="0" shapeId="0" xr:uid="{00000000-0006-0000-0500-000001000000}">
      <text>
        <r>
          <rPr>
            <sz val="10"/>
            <rFont val="Arial"/>
            <charset val="1"/>
          </rPr>
          <t>Bitte bei allen Wirkstoffen Q9 als Schlagwort hinzufügen, außer: Aflibercept, Ramibizumab, Panebinostat, Carilozonib, Vemurafenib, LEnalidomid
Bitte bei allen Wirkstoffen als Schlagwörter auch IMPP-System und -Gruppe hinzufügen
Antwort Arthur: Ranibizumab ist im Stapel Augenheilkunde, aber hab das beachtet und dort dementsprechend nicht hingeschrieben</t>
        </r>
      </text>
    </comment>
    <comment ref="G17" authorId="0" shapeId="0" xr:uid="{00000000-0006-0000-0500-000002000000}">
      <text>
        <r>
          <rPr>
            <sz val="10"/>
            <rFont val="Arial"/>
            <charset val="1"/>
          </rPr>
          <t>In der IMPPListe steht hier EGFR-Inhibitor?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5" authorId="0" shapeId="0" xr:uid="{00000000-0006-0000-0600-000001000000}">
      <text>
        <r>
          <rPr>
            <sz val="10"/>
            <rFont val="Arial"/>
            <charset val="1"/>
          </rPr>
          <t>Bitte die Materialien aus den Q9-Skripten aus den aktellsten Skripten verwenden (SS 2022)</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J20" authorId="0" shapeId="0" xr:uid="{00000000-0006-0000-0800-000001000000}">
      <text>
        <r>
          <rPr>
            <sz val="11"/>
            <color rgb="FF000000"/>
            <rFont val="Calibri"/>
            <family val="2"/>
            <charset val="1"/>
          </rPr>
          <t>Das ist von Buprenorphin kopiert, aber ich weiß nicht ob alle Angaben so auf diesen Wirkstoff passen</t>
        </r>
      </text>
    </comment>
  </commentList>
</comments>
</file>

<file path=xl/sharedStrings.xml><?xml version="1.0" encoding="utf-8"?>
<sst xmlns="http://schemas.openxmlformats.org/spreadsheetml/2006/main" count="4052" uniqueCount="2044">
  <si>
    <t>Kartennummer</t>
  </si>
  <si>
    <t>Stapel</t>
  </si>
  <si>
    <t>Schlagwörter</t>
  </si>
  <si>
    <t>IMPP-Arzneistoffliste - System</t>
  </si>
  <si>
    <t>IMPP-Arzneistoffliste - Gruppe</t>
  </si>
  <si>
    <t>Vorderseite/Frage</t>
  </si>
  <si>
    <t>Hinterseite/Lösung</t>
  </si>
  <si>
    <t>Arzneistoffgruppe</t>
  </si>
  <si>
    <t>Wirkung/Wirkmechanismus</t>
  </si>
  <si>
    <t>Quelle</t>
  </si>
  <si>
    <t>Indikationen</t>
  </si>
  <si>
    <t>UAW</t>
  </si>
  <si>
    <t>Kontraindikationen</t>
  </si>
  <si>
    <t>Sonstiges (Wechselwirkungen, Pharmakokinetik, sonstige Besonderheiten)</t>
  </si>
  <si>
    <t>Graphik</t>
  </si>
  <si>
    <t>Zeit für Erstellung der Inhalte (in Minuten)</t>
  </si>
  <si>
    <t>Zeit für Durchsicht der Inhalte durch Dozent/-in (in Minuten)</t>
  </si>
  <si>
    <t>Adrenalin</t>
  </si>
  <si>
    <t>Kardiovaskuläre Erkrankungen</t>
  </si>
  <si>
    <t>Sympathomimetikum Adrenerges+System Herz HI Schock αx-Adrenorezeptor-Agonisten βx-Adrenorezeptor-Agonisten</t>
  </si>
  <si>
    <t>Adrenerges System</t>
  </si>
  <si>
    <r>
      <rPr>
        <sz val="11"/>
        <color rgb="FF000000"/>
        <rFont val="Calibri"/>
        <family val="2"/>
        <charset val="1"/>
      </rPr>
      <t>ɑ</t>
    </r>
    <r>
      <rPr>
        <vertAlign val="subscript"/>
        <sz val="11"/>
        <color rgb="FF000000"/>
        <rFont val="Calibri"/>
        <family val="2"/>
        <charset val="1"/>
      </rPr>
      <t>x</t>
    </r>
    <r>
      <rPr>
        <sz val="11"/>
        <color rgb="FF000000"/>
        <rFont val="Calibri"/>
        <family val="2"/>
        <charset val="1"/>
      </rPr>
      <t>-Adrenorezeptor/ β</t>
    </r>
    <r>
      <rPr>
        <vertAlign val="subscript"/>
        <sz val="11"/>
        <color rgb="FF000000"/>
        <rFont val="Calibri"/>
        <family val="2"/>
        <charset val="1"/>
      </rPr>
      <t>x</t>
    </r>
    <r>
      <rPr>
        <sz val="11"/>
        <color rgb="FF000000"/>
        <rFont val="Calibri"/>
        <family val="2"/>
        <charset val="1"/>
      </rPr>
      <t>-Adrenorezeptor-Agonisten (ɑ</t>
    </r>
    <r>
      <rPr>
        <vertAlign val="subscript"/>
        <sz val="11"/>
        <color rgb="FF000000"/>
        <rFont val="Calibri"/>
        <family val="2"/>
        <charset val="1"/>
      </rPr>
      <t>x</t>
    </r>
    <r>
      <rPr>
        <sz val="11"/>
        <color rgb="FF000000"/>
        <rFont val="Calibri"/>
        <family val="2"/>
        <charset val="1"/>
      </rPr>
      <t>AR/ β</t>
    </r>
    <r>
      <rPr>
        <vertAlign val="subscript"/>
        <sz val="11"/>
        <color rgb="FF000000"/>
        <rFont val="Calibri"/>
        <family val="2"/>
        <charset val="1"/>
      </rPr>
      <t>x</t>
    </r>
    <r>
      <rPr>
        <sz val="11"/>
        <color rgb="FF000000"/>
        <rFont val="Calibri"/>
        <family val="2"/>
        <charset val="1"/>
      </rPr>
      <t>AR-Agonisten)</t>
    </r>
  </si>
  <si>
    <t>Wirkmechanismus/Wirkung, Indikationen, Kontraindikationen, UAW, Sonstiges</t>
  </si>
  <si>
    <t xml:space="preserve">WM: Stimulierende Wirkung an αx- und βx-Adrenorezeptoren ("Sympathomimetikum")
W: positiv chrono-, ino- und dromotrop, kardiale Automatie ↑, periphere Vasokonstriktion, Bronchodilatation, Lipolyse und Glykogenolyse ↑, RAAS ↑ </t>
  </si>
  <si>
    <t xml:space="preserve">Reanimation (Mittel erster Wahl), 
Anaphylaktischer Schock, 
lokal als Vasokonstriktor 
und bei Laryngotracheitis </t>
  </si>
  <si>
    <t>AHT, 
AP-Beschwerden, 
Tachykardie und Arrhythmieneigung, 
Hyperglykämie, 
Nekrosen im Bereich der Akren, 
Unruhe, 
Angst, 
Blässe, 
Tremor, 
Palpitationen, 
Hypokaliämie</t>
  </si>
  <si>
    <t>AHT/Cor Pulmonale, 
Tachykardie und- arrhythmie, 
Hyperthyreose, 
KHK, 
Phäochromozytom, 
Engwinkelglaukom</t>
  </si>
  <si>
    <t>SS/SZ: nur bei vitaler Indikation
geringe HWZ, v. a. i.v. appliziert da PBV ~ 0</t>
  </si>
  <si>
    <t>Adrenalin &amp; Noradrenalin.jpg</t>
  </si>
  <si>
    <t>Mutschler Arzneimittelwirkungen, 11. Auflage, S.54, Abb. 2.6</t>
  </si>
  <si>
    <t>Alteplase</t>
  </si>
  <si>
    <t>Gewebeplasminogen-Aktivator LAE Lyse Myokardinfarkt Schlaganfall Q9</t>
  </si>
  <si>
    <t>Blutgerinnung</t>
  </si>
  <si>
    <t>Gewebeplasminogen-Aktivatoren</t>
  </si>
  <si>
    <r>
      <rPr>
        <sz val="11"/>
        <color rgb="FF000000"/>
        <rFont val="Calibri"/>
        <family val="2"/>
        <charset val="1"/>
      </rPr>
      <t xml:space="preserve">WM/Klasse: Gewebeplasminogen- Aktivatoren  
W: rekombinanter, menschlicher Gewebs-Plasminogenaktivator </t>
    </r>
    <r>
      <rPr>
        <sz val="11"/>
        <color rgb="FF01FD55"/>
        <rFont val="Calibri"/>
        <family val="2"/>
        <charset val="1"/>
      </rPr>
      <t>der an Fibrin bindet und das ebenfalls fibringebundene Plasminogen direkt zu Plasmin aktiviert. Das aktivierte Plasmin baut dann das Fibringerinnsel ab.</t>
    </r>
  </si>
  <si>
    <r>
      <rPr>
        <sz val="11"/>
        <color rgb="FF000000"/>
        <rFont val="Calibri"/>
        <family val="2"/>
        <charset val="1"/>
      </rPr>
      <t xml:space="preserve">fibrinolytische Behandlung von akuten Thrombembolien wie akutem Myokardinfarkt 
</t>
    </r>
    <r>
      <rPr>
        <sz val="11"/>
        <color rgb="FF01FD55"/>
        <rFont val="Calibri"/>
        <family val="2"/>
        <charset val="1"/>
      </rPr>
      <t>Akuter massiver LAE mit hämodynamischer Instabilität,akutem ischämischen Schlaganfall</t>
    </r>
  </si>
  <si>
    <r>
      <rPr>
        <sz val="11"/>
        <color rgb="FF000000"/>
        <rFont val="Calibri"/>
        <family val="2"/>
        <charset val="1"/>
      </rPr>
      <t xml:space="preserve">Blutungen 
</t>
    </r>
    <r>
      <rPr>
        <sz val="11"/>
        <color rgb="FF01FD55"/>
        <rFont val="Calibri"/>
        <family val="2"/>
        <charset val="1"/>
      </rPr>
      <t>Blutungen, die vor allem intrazerebral (sehr häufig) auftreten, wiederholt auftretende Ischämien/AP-Anfälle, Hypotonie und Herzinsuffizienz/Lungenödem</t>
    </r>
  </si>
  <si>
    <r>
      <rPr>
        <sz val="11"/>
        <color rgb="FF000000"/>
        <rFont val="Calibri"/>
        <family val="2"/>
        <charset val="1"/>
      </rPr>
      <t xml:space="preserve">Blutgerinnungsstörung, erhöhtes Blutungsrisiko </t>
    </r>
    <r>
      <rPr>
        <sz val="11"/>
        <color rgb="FF01FD55"/>
        <rFont val="Calibri"/>
        <family val="2"/>
        <charset val="1"/>
      </rPr>
      <t>(z.B. orale Antikoagulation, Verdacht auf/zurückliegende/bestehende relevante Blutung, Schädigung des ZNS in der Anamnese, unkontrollierter Hypertonus, Ulcera)</t>
    </r>
  </si>
  <si>
    <t>bei akutem Myokardinfarkt: antithrombotische Begleittherapie mit ASS + ADP-Antagonist</t>
  </si>
  <si>
    <t>Alteplase.jpg</t>
  </si>
  <si>
    <t>Mutschler Arzneimittelwirkungen, 11. Auflage, S.493, Abb. 39.1</t>
  </si>
  <si>
    <t>Amiodaron</t>
  </si>
  <si>
    <t>pleiotrope Ionenkanalblocker Klasse-III-Antiarryhthmikum Antiarrhythmika HRST Q9</t>
  </si>
  <si>
    <t>Ionenkanäle</t>
  </si>
  <si>
    <t>Pleiotrope Ionenkanal-Blocker</t>
  </si>
  <si>
    <r>
      <rPr>
        <sz val="11"/>
        <color rgb="FF000000"/>
        <rFont val="Calibri"/>
        <family val="2"/>
        <charset val="1"/>
      </rPr>
      <t>WM/Klasse: pleiotrope Ionenkanalblocker, Klasse-III-Antiarryhthmikum, weitere Vertreter: Dronedaron, Vernakalant 
W: Verlängerung von Repolarisationsdauer und Refraktärperiode des AP --&gt; Unterdrückung von Ektopien und Reentry-Mechanismen ohne wesentliche Beeinträchtigung der Kontraktionskraft (</t>
    </r>
    <r>
      <rPr>
        <sz val="11"/>
        <color rgb="FF01FD55"/>
        <rFont val="Calibri"/>
        <family val="2"/>
        <charset val="1"/>
      </rPr>
      <t>daher auch bei bestehender Herzinsuffizienz anwendbar)</t>
    </r>
  </si>
  <si>
    <t>symptomatische und behandlungsbedürftige supraventrikuläre, tachykarde HRST, 1. Wahl zur Rhythmuskontrolle bei bestehender Herzinsuffizienz</t>
  </si>
  <si>
    <t xml:space="preserve">sehr häufig: Ablagerungen auf der Cornea, häufig: Bradykardie, extrapyramidaler Tremor. Unbekannte Häufigkeit: Hypo- oder Hyperthyreose (hoher Jodanteil)
</t>
  </si>
  <si>
    <r>
      <rPr>
        <sz val="11"/>
        <color rgb="FF000000"/>
        <rFont val="Calibri"/>
        <family val="2"/>
        <charset val="1"/>
      </rPr>
      <t xml:space="preserve">Sinusbradykardie und andere Formen der Leitungsverzögerung, Schilddrüsenerkrankungen, Jodallergie
</t>
    </r>
    <r>
      <rPr>
        <sz val="11"/>
        <color rgb="FF01FD55"/>
        <rFont val="Calibri"/>
        <family val="2"/>
        <charset val="1"/>
      </rPr>
      <t>bekannte QT-Verlängerung, Hypokaliämie, gleichzeitige Behandlung mit MAO-Hemmern oder Medikamenten, die Torsade-de-pointes auslösen können, Schwangerschaft (strenge Indikationsstellung), Stillzeit</t>
    </r>
  </si>
  <si>
    <t xml:space="preserve">sehr lange HWZ von ca. 50 Tagen → schlecht steuerbar
</t>
  </si>
  <si>
    <t>Amlodipin</t>
  </si>
  <si>
    <t xml:space="preserve"> AP Calciumkanalblocker KHK Q9</t>
  </si>
  <si>
    <t>Calciumkanal-Blocker</t>
  </si>
  <si>
    <r>
      <rPr>
        <sz val="11"/>
        <color rgb="FF000000"/>
        <rFont val="Calibri"/>
        <family val="2"/>
        <charset val="1"/>
      </rPr>
      <t xml:space="preserve">WM/Klasse: Calciumkanalblocker vom Dihydropyridintyp; weitere Vertreter: Nifedipin, Nitrendipin (Dihydropyridin; oral)
W: hemmt den Calcium-Einstrom in Herzmuskelzellen und glatte Muskelzellen --&gt; blutdrucksenkend durch Relaxation der glatten Muskelzellen
</t>
    </r>
    <r>
      <rPr>
        <sz val="11"/>
        <color rgb="FF01FD55"/>
        <rFont val="Calibri"/>
        <family val="2"/>
        <charset val="1"/>
      </rPr>
      <t>antianginöse Wirkung: durch geringeren peripheren Widerstand muss das Herz weniger Kraft aufbringen und verbraucht weniger Sauerstoff + Verbesserung der Sauerstoffversorgung durch Dilatation der Koronararterien in gesunden und ischämischen Bereichen</t>
    </r>
  </si>
  <si>
    <t>Hypertonie, 
Chronische, stabile AP, vasospastische (Prinzmetal-) Angina</t>
  </si>
  <si>
    <r>
      <rPr>
        <sz val="11"/>
        <color rgb="FF000000"/>
        <rFont val="Calibri"/>
        <family val="2"/>
        <charset val="1"/>
      </rPr>
      <t xml:space="preserve">sehr häufig und oft limitierend: Ödeme 
</t>
    </r>
    <r>
      <rPr>
        <sz val="11"/>
        <color rgb="FF01FD55"/>
        <rFont val="Calibri"/>
        <family val="2"/>
        <charset val="1"/>
      </rPr>
      <t>Häufig: Schläfrigkeit, Schwindel, Kopfschmerzen (insb. zu Beginn), Sehstörungen, Palpitationen, Hautrötung mit Wärmegefühl, Dyspnoe, Bauchschmerzen, Übelkeit, Dyspepsie, Knöchelschwellung, Muskelkrämpfe, Müdigkeit, Schwäche</t>
    </r>
  </si>
  <si>
    <r>
      <rPr>
        <sz val="11"/>
        <color rgb="FF000000"/>
        <rFont val="Calibri"/>
        <family val="2"/>
        <charset val="1"/>
      </rPr>
      <t xml:space="preserve">schwere Hypotonie oder Schock, hämodynamisch instabile Herzinsuffizienz, </t>
    </r>
    <r>
      <rPr>
        <sz val="11"/>
        <color rgb="FF01FD55"/>
        <rFont val="Calibri"/>
        <family val="2"/>
        <charset val="1"/>
      </rPr>
      <t>schwere Leberfunktionsstörungen (aufgrund der verlängerten Halbwertszeit), Schwangerschaft (relative KI) und Stillzeit</t>
    </r>
  </si>
  <si>
    <t>Andexanet</t>
  </si>
  <si>
    <t>Antidot Q9</t>
  </si>
  <si>
    <t>Neutralisatoren von Faktor-Xa-Inhibitoren</t>
  </si>
  <si>
    <t xml:space="preserve">WM/Klasse: Neutralisatoren von direkten Faktor-Xa-Inhibitoren (Apixaban, Rivaroxaban)
W: rekombinante Form des humanen Faktor-Xa-Proteins, das mit hoher Affinität an die Faktor-Xa-Inhibitoren bindet und deren Wirkung dadurch aufhebt </t>
  </si>
  <si>
    <t xml:space="preserve">zur Aufhebung der Antikoagulation bei Behandlung mit einem direkten Faktor-Xa-Inhibitor (Apixaban oder Rivaroxaban) bei unkontrollierbarer oder lebensbedrohlicher Blutung </t>
  </si>
  <si>
    <t>Anstieg von D-Dimeren und Prothrombinfragmenten (auch thrombotische Ereignisse wurden beobachtet, z.B. VTE)</t>
  </si>
  <si>
    <t>bekannte allergische Reaktion gegen Hamsterproteine (Andexanet wird in einem CHO-Zell-Expressionssystem produziert; CHO = Chinese ovary hamster)</t>
  </si>
  <si>
    <t>Rote Hand Brief vom November 2020: Keine Anwendung von Andexanet vor einer Heparinisierung → Führt zum Nicht-Ansprechen auf die gerinnungshemmende Wirkung von Heparin</t>
  </si>
  <si>
    <t>Andexanet.jpg</t>
  </si>
  <si>
    <t>doi.org/10.1161/CIRCRESAHA.116.309820</t>
  </si>
  <si>
    <t>Bisoprolol</t>
  </si>
  <si>
    <t>Adrenerges+System AHT Beta-Blocker Herz HI HRS KHK β1-Adrenorezeptor-Antagonisten Q9</t>
  </si>
  <si>
    <r>
      <rPr>
        <sz val="11"/>
        <color rgb="FF000000"/>
        <rFont val="Calibri"/>
        <family val="2"/>
        <charset val="1"/>
      </rPr>
      <t>β</t>
    </r>
    <r>
      <rPr>
        <vertAlign val="subscript"/>
        <sz val="11"/>
        <color rgb="FF000000"/>
        <rFont val="Calibri"/>
        <family val="2"/>
        <charset val="1"/>
      </rPr>
      <t>1</t>
    </r>
    <r>
      <rPr>
        <sz val="11"/>
        <color rgb="FF000000"/>
        <rFont val="Calibri"/>
        <family val="2"/>
        <charset val="1"/>
      </rPr>
      <t>-Adrenorezeptor-Antagonisten (β</t>
    </r>
    <r>
      <rPr>
        <vertAlign val="subscript"/>
        <sz val="11"/>
        <color rgb="FF000000"/>
        <rFont val="Calibri"/>
        <family val="2"/>
        <charset val="1"/>
      </rPr>
      <t>1</t>
    </r>
    <r>
      <rPr>
        <sz val="11"/>
        <color rgb="FF000000"/>
        <rFont val="Calibri"/>
        <family val="2"/>
        <charset val="1"/>
      </rPr>
      <t>AR-Antagonisten)</t>
    </r>
  </si>
  <si>
    <t xml:space="preserve">WM: Relative und dosisabhängige "kardioselektive" Blockade der β1-Adrenorezeptoren (Klasse II Antiarrhythmikum; gering(st) arrhythmogen)
W: Frequenz, Kontrakilität, Schlagkraft und Überleitungsgeschwindigkeit des Herzens ↓, Reninfreisetzung der Niere ↓, Hemmung der Lipolyse </t>
  </si>
  <si>
    <t>(stabile) KHK und arterielle Hypertonie, (stabile) Herzinsuffizienz, zur Frequenzkontrolle bei Herzrhythmusstörungen, Offenwinkelglaukom, Mirgräneprophylaxe</t>
  </si>
  <si>
    <t>Häufig: Müdigkeit, Schwindel, KS, GI
Gelegentlich: Depressionen, Verwirrtheit, Halluzinationen, Parästhesien, Hyperhidrosis, allergische Dermatitis
Selten bis sehr selten: Steigerung eines Hyperglykämierisikos bei DM durch Symptommaskierung, Gewicht ↑, Bronchokonstriktion und periphere Vasokonstriktion, HRS, Erektions- und Libidostörung, HDL ↓, LDL ↑, Verschlechterung einer Psoriasis</t>
  </si>
  <si>
    <r>
      <rPr>
        <sz val="11"/>
        <color rgb="FF000000"/>
        <rFont val="Calibri"/>
        <family val="2"/>
        <charset val="1"/>
      </rPr>
      <t xml:space="preserve">Asthma bronchiale, Bradykardie und Hypotension, dekompensierte Herzinsuffizienz und frischer Myokardinfarkt, </t>
    </r>
    <r>
      <rPr>
        <sz val="11"/>
        <color rgb="FF01FD55"/>
        <rFont val="Calibri"/>
        <family val="2"/>
        <charset val="1"/>
      </rPr>
      <t xml:space="preserve">kardialer Schock und metabolische Azidose </t>
    </r>
    <r>
      <rPr>
        <sz val="11"/>
        <color rgb="FF000000"/>
        <rFont val="Calibri"/>
        <family val="2"/>
        <charset val="1"/>
      </rPr>
      <t xml:space="preserve">, AV-Block II. Und III. Grades und Sick-Sinus-Syndrome, pAVK und Prinzmetal-Angina, </t>
    </r>
    <r>
      <rPr>
        <sz val="11"/>
        <color rgb="FF01FD55"/>
        <rFont val="Calibri"/>
        <family val="2"/>
        <charset val="1"/>
      </rPr>
      <t>Kombination mit Verapamil, Diltiazem oder Ranolazin; Cave bei der Kombination mit MAO-Hemmern (UAW ↑)</t>
    </r>
  </si>
  <si>
    <t>SS/SZ: bei strenger Indikationsstellung zulässig
wenig Cyp2D6-abhängig
Medikament ausschleichen → sonst "Rebound"risiko wegen Rezeptordichteerhöhung
Je höher der Sympathotonus, desto ausgeprägter die Effekte der Betablockade!</t>
  </si>
  <si>
    <t>Betablocker.jpg</t>
  </si>
  <si>
    <t>https://www.gelbe-liste.de/wirkstoffgruppen/betablocker</t>
  </si>
  <si>
    <t>Brimonidin</t>
  </si>
  <si>
    <t>Adrenerges+System Augentropfen Glaukom α2-Adrenorezeptor-Agonisten</t>
  </si>
  <si>
    <r>
      <rPr>
        <sz val="11"/>
        <color rgb="FF000000"/>
        <rFont val="Calibri"/>
        <family val="2"/>
        <charset val="1"/>
      </rPr>
      <t>ɑ</t>
    </r>
    <r>
      <rPr>
        <vertAlign val="subscript"/>
        <sz val="11"/>
        <color rgb="FF000000"/>
        <rFont val="Calibri"/>
        <family val="2"/>
        <charset val="1"/>
      </rPr>
      <t>2</t>
    </r>
    <r>
      <rPr>
        <sz val="11"/>
        <color rgb="FF000000"/>
        <rFont val="Calibri"/>
        <family val="2"/>
        <charset val="1"/>
      </rPr>
      <t>-Adrenorezepto-Agonisten (ɑ</t>
    </r>
    <r>
      <rPr>
        <vertAlign val="subscript"/>
        <sz val="11"/>
        <color rgb="FF000000"/>
        <rFont val="Calibri"/>
        <family val="2"/>
        <charset val="1"/>
      </rPr>
      <t>2</t>
    </r>
    <r>
      <rPr>
        <sz val="11"/>
        <color rgb="FF000000"/>
        <rFont val="Calibri"/>
        <family val="2"/>
        <charset val="1"/>
      </rPr>
      <t>AR-Agonisten)</t>
    </r>
  </si>
  <si>
    <t>WM: Stimulierung der α2-Adrenorezeptoren (α2-Adrenorezeptor-Agonist)
W: Senkung der Kammerwasserproduktion (nur als Augentropfen verfügbar)</t>
  </si>
  <si>
    <t xml:space="preserve">Offenwinkelglaukom (nur als Augentropfen verfügbar) </t>
  </si>
  <si>
    <t>Augenstechen, -brennen, -jucken, Fremdkörpergefühl, Konjunktivitis
KS, Mundtrockenheit, Somnolenz und Schlafstörungen</t>
  </si>
  <si>
    <t>Depressionen, Kombination mit MAO-Hemmern, TZA und Mianserin aufgrund möglicher Wirkungsverstärkung</t>
  </si>
  <si>
    <t>Candesartan</t>
  </si>
  <si>
    <t>Angiotensin-AT1-Rezeptor-Antagonisten RAAS Sartane Q9</t>
  </si>
  <si>
    <t>RAAS</t>
  </si>
  <si>
    <r>
      <rPr>
        <sz val="11"/>
        <color rgb="FF000000"/>
        <rFont val="Calibri"/>
        <family val="2"/>
        <charset val="1"/>
      </rPr>
      <t>Angiotensin-AT</t>
    </r>
    <r>
      <rPr>
        <vertAlign val="subscript"/>
        <sz val="11"/>
        <color rgb="FF000000"/>
        <rFont val="Calibri"/>
        <family val="2"/>
        <charset val="1"/>
      </rPr>
      <t>1</t>
    </r>
    <r>
      <rPr>
        <sz val="11"/>
        <color rgb="FF000000"/>
        <rFont val="Calibri"/>
        <family val="2"/>
        <charset val="1"/>
      </rPr>
      <t>-Rezeptor-Antagonisten (AT</t>
    </r>
    <r>
      <rPr>
        <vertAlign val="subscript"/>
        <sz val="11"/>
        <color rgb="FF000000"/>
        <rFont val="Calibri"/>
        <family val="2"/>
        <charset val="1"/>
      </rPr>
      <t>1</t>
    </r>
    <r>
      <rPr>
        <sz val="11"/>
        <color rgb="FF000000"/>
        <rFont val="Calibri"/>
        <family val="2"/>
        <charset val="1"/>
      </rPr>
      <t>R-Antagonisten)</t>
    </r>
  </si>
  <si>
    <r>
      <rPr>
        <sz val="11"/>
        <color rgb="FF000000"/>
        <rFont val="Calibri"/>
        <family val="2"/>
        <charset val="1"/>
      </rPr>
      <t>WM: Antagonismus an AT1-Rezeptoren → Hemmung der Angiotensin-II-Wirkung an dessen Rezeptoren (Angiotensin-AT1-Rezeptor-Antagonisten/AT1-Blocker)
W: Vasodilatation, Sympathotonus ↓, myokardiale Hypertrophie und Fibrose ↓, RR ↓, nephroprotektiv</t>
    </r>
    <r>
      <rPr>
        <strike/>
        <sz val="11"/>
        <color rgb="FF000000"/>
        <rFont val="Calibri"/>
        <family val="2"/>
        <charset val="1"/>
      </rPr>
      <t>e</t>
    </r>
    <r>
      <rPr>
        <sz val="11"/>
        <color rgb="FF000000"/>
        <rFont val="Calibri"/>
        <family val="2"/>
        <charset val="1"/>
      </rPr>
      <t xml:space="preserve"> Effekte</t>
    </r>
  </si>
  <si>
    <t>(gleich den ACE-Hemmern; bei Unverträglichkeit ebenjener) 
AHT, chronische HI (u. a. gegen Remodeling), post-MI (gegen Remodeling), (diabetische) Nephropathie</t>
  </si>
  <si>
    <r>
      <rPr>
        <sz val="11"/>
        <color rgb="FF000000"/>
        <rFont val="Calibri"/>
        <family val="2"/>
        <charset val="1"/>
      </rPr>
      <t xml:space="preserve">Häufig: Atemwegsinfektionen, Schwindel, KS
</t>
    </r>
    <r>
      <rPr>
        <sz val="11"/>
        <color rgb="FF01FD55"/>
        <rFont val="Calibri"/>
        <family val="2"/>
        <charset val="1"/>
      </rPr>
      <t>Sehr selten: Leukopenie, Neutropenie, Agranulozytose, Hyperkaliämie, Hyponatriämie, Husten, Übelkeit, Leberwerte ↑, Hepatitis, Angioödem, Prutitus, Athralgie/Myalgie, 
Einschränkung der Nierenfunktion bei vorbelasteten Patienten</t>
    </r>
  </si>
  <si>
    <t>Schwere Leberinsuffizienz
Vorsicht bei: trockener Reizhusten und/oder angioneurotisches Ödem bei Gabe (seltener bei Sartanen, jedoch möglich; Sartane beeiflussen den Bradykininabbau nicht!)</t>
  </si>
  <si>
    <r>
      <rPr>
        <sz val="11"/>
        <color rgb="FF000000"/>
        <rFont val="Calibri"/>
        <family val="2"/>
        <charset val="1"/>
      </rPr>
      <t xml:space="preserve">SS: fetotoxisch in 2.+3. Schwangerschaftstrimenon Nierenfunktionsminderung, Oligohydramnion
</t>
    </r>
    <r>
      <rPr>
        <sz val="11"/>
        <color rgb="FF01FD55"/>
        <rFont val="Calibri"/>
        <family val="2"/>
        <charset val="1"/>
      </rPr>
      <t xml:space="preserve">
Sartane auch einschleichen
Teilweise besteht eine Vetriebseinschränkung der EMA für Sartane wg. Nitrosamin-Verunreinigung einiger Präperate; ggf. besteht ein kanzerogenes Potenzial</t>
    </r>
  </si>
  <si>
    <t>AT1R-Antagonisten.jpg</t>
  </si>
  <si>
    <t>https://www.gelbe-liste.de/wirkstoffgruppen/at-1-antagonisten-sartane</t>
  </si>
  <si>
    <t xml:space="preserve">Carvedilol </t>
  </si>
  <si>
    <t>Adrenerges+System AHT Beta-Blocker Herz HI HRS KHK βx-Adrenorezeptor-Antagonisten Q9</t>
  </si>
  <si>
    <r>
      <rPr>
        <sz val="11"/>
        <color rgb="FF000000"/>
        <rFont val="Calibri"/>
        <family val="2"/>
        <charset val="1"/>
      </rPr>
      <t>ɑ</t>
    </r>
    <r>
      <rPr>
        <vertAlign val="subscript"/>
        <sz val="11"/>
        <color rgb="FF000000"/>
        <rFont val="Calibri"/>
        <family val="2"/>
        <charset val="1"/>
      </rPr>
      <t>1</t>
    </r>
    <r>
      <rPr>
        <sz val="11"/>
        <color rgb="FF000000"/>
        <rFont val="Calibri"/>
        <family val="2"/>
        <charset val="1"/>
      </rPr>
      <t>-Adrenorezeptor/ β</t>
    </r>
    <r>
      <rPr>
        <vertAlign val="subscript"/>
        <sz val="11"/>
        <color rgb="FF000000"/>
        <rFont val="Calibri"/>
        <family val="2"/>
        <charset val="1"/>
      </rPr>
      <t>x</t>
    </r>
    <r>
      <rPr>
        <sz val="11"/>
        <color rgb="FF000000"/>
        <rFont val="Calibri"/>
        <family val="2"/>
        <charset val="1"/>
      </rPr>
      <t>-Adrenorezeptor-Antagonisten (ɑ</t>
    </r>
    <r>
      <rPr>
        <vertAlign val="subscript"/>
        <sz val="11"/>
        <color rgb="FF000000"/>
        <rFont val="Calibri"/>
        <family val="2"/>
        <charset val="1"/>
      </rPr>
      <t>1</t>
    </r>
    <r>
      <rPr>
        <sz val="11"/>
        <color rgb="FF000000"/>
        <rFont val="Calibri"/>
        <family val="2"/>
        <charset val="1"/>
      </rPr>
      <t>AR/ β</t>
    </r>
    <r>
      <rPr>
        <vertAlign val="subscript"/>
        <sz val="11"/>
        <color rgb="FF000000"/>
        <rFont val="Calibri"/>
        <family val="2"/>
        <charset val="1"/>
      </rPr>
      <t>x</t>
    </r>
    <r>
      <rPr>
        <sz val="11"/>
        <color rgb="FF000000"/>
        <rFont val="Calibri"/>
        <family val="2"/>
        <charset val="1"/>
      </rPr>
      <t>AR-Antagonisten)</t>
    </r>
  </si>
  <si>
    <r>
      <rPr>
        <sz val="11"/>
        <color rgb="FF000000"/>
        <rFont val="Calibri"/>
        <family val="2"/>
        <charset val="1"/>
      </rPr>
      <t xml:space="preserve">WM: "Nicht-kardioselektive" Blockade der βx-Adrenorezeptoren; zusätzlich α1-Blockade (α1-/βx-Adrenorezeptor-Antagonist)
W: 
β1: Frequenz, Kontrakilität, Schlagkraft und Überleitungsgeschwindigkeit des Herzens ↓
β2: Hemmung der Insulinsekretion, Hemmung der Glykogenolyse, Konstriktion der glatten Muskelzellen, Kammerwasserproduktion ↓
α1: (v.a. periphere) Vasodilatation </t>
    </r>
    <r>
      <rPr>
        <sz val="11"/>
        <color rgb="FF01FD55"/>
        <rFont val="Calibri"/>
        <family val="2"/>
        <charset val="1"/>
      </rPr>
      <t>(RR ↓)</t>
    </r>
  </si>
  <si>
    <t>(stabile) KHK und arterielle Hypertonie, (stabile) Herzinsuffizienz</t>
  </si>
  <si>
    <t>Durch Blockade der β1-Adreonorezeptoren: 
Sehr häufig bis häufig:  Müdigkeit, Schwindel, KS, GI, Infektionen der oberen Atemwege, Gewicht ↑, Steigerung eines Hyperglykämierisikos bei DM durch Symptommaskierung, Depressionen, Hypotonie (auch durch α1-Blockade), HDL ↓, LDL ↑
Gelegentlich: Verwirrtheit, Parästhesien, allergische Dermatitis
Selten bis sehr selten: Bronchokonstriktion, periphere Vasokonstriktion, HRS, Erektions- und Libidostörung, Verschlechterung einer Psoriasis
Durch Blockade der β2-Adreonorezeptoren: 
Bronchokonstriktion, Verstärkung peripherer Durchblutungsstörungen (z. B. Raynaud-Syndrom), Hypoglykämieneigung bei DM</t>
  </si>
  <si>
    <r>
      <rPr>
        <sz val="11"/>
        <color rgb="FF000000"/>
        <rFont val="Calibri"/>
        <family val="2"/>
        <charset val="1"/>
      </rPr>
      <t>Asthma bronchiale, Bradykardie und Hypotension, dekompensierte Herzinsuffizienz und frischer Myokardinfarkt, AV-Block II. Und III. Grades und Sick-Sinus-Syndrome,</t>
    </r>
    <r>
      <rPr>
        <sz val="11"/>
        <color rgb="FF01FD55"/>
        <rFont val="Calibri"/>
        <family val="2"/>
        <charset val="1"/>
      </rPr>
      <t xml:space="preserve"> pAVK und Prinzmetal-Angina, Kombination mit Verapamil, Diltiazem oder Ranolazin; Cave bei der Kombination mit MAO-Hemmern (UAW ↑)</t>
    </r>
  </si>
  <si>
    <t xml:space="preserve"> SS/SZ: bei strenger Indikationsstellung zulässig
Medikament ausschleichen → sonst "Rebound"risiko wegen Rezeptordichteerhöhung
Je höher der Sympathotonus, desto ausgeprägter die Effekte der Betablockade!</t>
  </si>
  <si>
    <t>beta blocker table.jpg
Beta Blocker Trick_Carvedilol.png</t>
  </si>
  <si>
    <t xml:space="preserve">Clonidin </t>
  </si>
  <si>
    <t xml:space="preserve"> Adrenerges+System AHT α2-Adrenorezeptor-Agonisten Q9</t>
  </si>
  <si>
    <t>WM: Stimulierung der α2-Adrenorezeptoren (α2-Adrenorezeptor-Agonist)
W: Senkung des HZV, des peripheren Gefäßwiderstands und der Kammerwasserproduktion; zusätzliche sedative Wirkung</t>
  </si>
  <si>
    <r>
      <rPr>
        <sz val="11"/>
        <color rgb="FF000000"/>
        <rFont val="Calibri"/>
        <family val="2"/>
        <charset val="1"/>
      </rPr>
      <t xml:space="preserve">Kombinationstherapie bei AHT, hypertensive(r) Krise/Notfall, Adjuvans zur Sedation und bei Entzug </t>
    </r>
    <r>
      <rPr>
        <sz val="11"/>
        <color rgb="FF01FD55"/>
        <rFont val="Calibri"/>
        <family val="2"/>
        <charset val="1"/>
      </rPr>
      <t>(Dämpfung der sympathomimetischen Symptomatik)</t>
    </r>
  </si>
  <si>
    <t>Anticholinerge Symptome durch agonistische Wirkung am Imidazolin-Rezeptor: verminderte Speichelsekretion, Mundtrockenheit, Obstipation, Sekretion Magensaft↓, Bradykardie, Potenzstörungen, depressive Verstimmung, Schlafstörungen</t>
  </si>
  <si>
    <t>Sick-Sinus-Syndrome, Bradykardie</t>
  </si>
  <si>
    <t>Clopidogrel</t>
  </si>
  <si>
    <r>
      <rPr>
        <sz val="11"/>
        <color rgb="FF000000"/>
        <rFont val="Calibri"/>
        <family val="2"/>
        <charset val="1"/>
      </rPr>
      <t>P2Y</t>
    </r>
    <r>
      <rPr>
        <vertAlign val="subscript"/>
        <sz val="11"/>
        <color rgb="FF000000"/>
        <rFont val="Calibri"/>
        <family val="2"/>
        <charset val="1"/>
      </rPr>
      <t>12</t>
    </r>
    <r>
      <rPr>
        <sz val="11"/>
        <color rgb="FF000000"/>
        <rFont val="Calibri"/>
        <family val="2"/>
        <charset val="1"/>
      </rPr>
      <t>R-Antagonist Myokardinfarkt Schlaganfall Thrombozytenaggregationshemmung Q9</t>
    </r>
  </si>
  <si>
    <r>
      <rPr>
        <sz val="11"/>
        <color rgb="FF000000"/>
        <rFont val="Calibri"/>
        <family val="2"/>
        <charset val="1"/>
      </rPr>
      <t>P2Y</t>
    </r>
    <r>
      <rPr>
        <vertAlign val="subscript"/>
        <sz val="11"/>
        <color rgb="FF000000"/>
        <rFont val="Calibri"/>
        <family val="2"/>
        <charset val="1"/>
      </rPr>
      <t>12</t>
    </r>
    <r>
      <rPr>
        <sz val="11"/>
        <color rgb="FF000000"/>
        <rFont val="Calibri"/>
        <family val="2"/>
        <charset val="1"/>
      </rPr>
      <t>-ADP-Rezeptor-Antagonisten (P2Y</t>
    </r>
    <r>
      <rPr>
        <vertAlign val="subscript"/>
        <sz val="11"/>
        <color rgb="FF000000"/>
        <rFont val="Calibri"/>
        <family val="2"/>
        <charset val="1"/>
      </rPr>
      <t>12</t>
    </r>
    <r>
      <rPr>
        <sz val="11"/>
        <color rgb="FF000000"/>
        <rFont val="Calibri"/>
        <family val="2"/>
        <charset val="1"/>
      </rPr>
      <t>R-Antagonisten)</t>
    </r>
  </si>
  <si>
    <t>WM/Klasse: P2Y12-ADP-Rezeptor-Antagonisten, weitere Vertreter: Prasugrel (irreversibel, oral), Ticagrelor (reversibel, oral), Cangrelor (reversibel, i.v.)
W: Prodrug, dessen Metabolit selektiv und irreversibel die Bindung von ADP am Thrombozytenrezeptor und damit die ADP-vermittelte Bildung des GP-llb-llla-Glykoproteinkomplexes, der die Thrombozytenaggregation ermöglicht, verhindert</t>
  </si>
  <si>
    <t xml:space="preserve">Ischämischer Schlaganfall, ACS mit/ohne ST-Hebung, abgelaufener Herzinfarkt </t>
  </si>
  <si>
    <r>
      <rPr>
        <sz val="11"/>
        <color rgb="FF000000"/>
        <rFont val="Calibri"/>
        <family val="2"/>
        <charset val="1"/>
      </rPr>
      <t xml:space="preserve">Häufig: diverse Blutungen </t>
    </r>
    <r>
      <rPr>
        <sz val="11"/>
        <color rgb="FF01FD55"/>
        <rFont val="Calibri"/>
        <family val="2"/>
        <charset val="1"/>
      </rPr>
      <t xml:space="preserve">(geleg. auch intrakraniell oder mit Augenbeteiligung),
glg: Thrombo-/Leukopenie, Eosinophilie, Ulcera, Gastritis, Übelkeit/Erbrechen, Verstopfung, Flatulenz, Ausschlag, Juckreiz, Hämaturie
</t>
    </r>
  </si>
  <si>
    <r>
      <rPr>
        <sz val="11"/>
        <color rgb="FF000000"/>
        <rFont val="Calibri"/>
        <family val="2"/>
        <charset val="1"/>
      </rPr>
      <t xml:space="preserve">akute pathologische Blutungen, </t>
    </r>
    <r>
      <rPr>
        <sz val="11"/>
        <color rgb="FF01FD55"/>
        <rFont val="Calibri"/>
        <family val="2"/>
        <charset val="1"/>
      </rPr>
      <t>Überempfindlichkeit, schwere Leberfunktionsstörung</t>
    </r>
  </si>
  <si>
    <r>
      <rPr>
        <sz val="11"/>
        <color rgb="FF000000"/>
        <rFont val="Calibri"/>
        <family val="2"/>
        <charset val="1"/>
      </rPr>
      <t>Besond.: Prodrug mit Metabolisierung über CYP2C19</t>
    </r>
    <r>
      <rPr>
        <sz val="11"/>
        <color rgb="FFFF011B"/>
        <rFont val="Calibri"/>
        <family val="2"/>
        <charset val="1"/>
      </rPr>
      <t xml:space="preserve"> </t>
    </r>
    <r>
      <rPr>
        <sz val="11"/>
        <color rgb="FF000000"/>
        <rFont val="Calibri"/>
        <family val="2"/>
        <charset val="1"/>
      </rPr>
      <t>→</t>
    </r>
    <r>
      <rPr>
        <sz val="11"/>
        <color rgb="FFFF011B"/>
        <rFont val="Calibri"/>
        <family val="2"/>
        <charset val="1"/>
      </rPr>
      <t xml:space="preserve"> </t>
    </r>
    <r>
      <rPr>
        <sz val="11"/>
        <color rgb="FF000000"/>
        <rFont val="Calibri"/>
        <family val="2"/>
        <charset val="1"/>
      </rPr>
      <t>unterliegt genetischem Polymorphismus, daher WW mit CYP2C19-Inhibitoren wie Omeprazol möglich (dann ggf. geringere antiaggregatorische Wirkung); Prasugrel ist dagegen kein Prodrug</t>
    </r>
  </si>
  <si>
    <t>Blutgerinnung.jpg</t>
  </si>
  <si>
    <t>https://www.gelbe-liste.de/wirkstoffe/Clopidogrel_27391</t>
  </si>
  <si>
    <t>Dabigatran</t>
  </si>
  <si>
    <t>Thrombin-Inhibitor Antikoagulation LAE TVT Q9</t>
  </si>
  <si>
    <t>Thrombin-Inhibitoren</t>
  </si>
  <si>
    <t>WM: direkter Thrombin-Inhibitor (oral), weitere Vertreter: Bivalirudin (parenteral)
W: wirkt kompetitiv und reversibel als direkter Thrombin-Inhibitor</t>
  </si>
  <si>
    <t xml:space="preserve">Prävention einer VTE nach OP und rezidivierenden TVT/LAE, Prävention von Schlaganfall/systemischer Embolie bei nicht-valvulärem VHF mit mind. einem RF und zur Behandlung von TVT und LAE </t>
  </si>
  <si>
    <r>
      <rPr>
        <sz val="11"/>
        <color rgb="FF000000"/>
        <rFont val="Calibri"/>
        <family val="2"/>
        <charset val="1"/>
      </rPr>
      <t xml:space="preserve">dosisabh. Erhöhung des Blutungsrisikos </t>
    </r>
    <r>
      <rPr>
        <sz val="11"/>
        <color rgb="FF01FD55"/>
        <rFont val="Calibri"/>
        <family val="2"/>
        <charset val="1"/>
      </rPr>
      <t xml:space="preserve">insb. in Kombi mit anderen Hämöostase-beeinträchtigenden Medis (z.B. ASS),
Geleg. Beeinträchtigung der Leberfunktion (z.B. Leberenzymanstieg) </t>
    </r>
  </si>
  <si>
    <r>
      <rPr>
        <sz val="11"/>
        <color rgb="FF000000"/>
        <rFont val="Calibri"/>
        <family val="2"/>
        <charset val="1"/>
      </rPr>
      <t xml:space="preserve">schwere Nierenfunktionsstörung, akute klinisch relevante Blutungen oder erhöhtes Blutungsrisiko 
</t>
    </r>
    <r>
      <rPr>
        <sz val="11"/>
        <color rgb="FF01FD55"/>
        <rFont val="Calibri"/>
        <family val="2"/>
        <charset val="1"/>
      </rPr>
      <t>Überempfindlichkeit (z.B. post OP, Anwendung anderer Antikoagulanzien), schwere Leberfunktionsstörung/-erkrankungen, Pat. mit künstlicher Herzklappe, glz. Behandlung mit starken pGP-Inhibitoren, GI-Ulzera, bakterielle Endokarditis</t>
    </r>
  </si>
  <si>
    <t>mit Idarucizumab ist ein direktes Antidot verfügbar (humanisiertes Antikörperfragment, bindet spezifisch Dabigatran)</t>
  </si>
  <si>
    <t>Dabigatran.jpg</t>
  </si>
  <si>
    <t xml:space="preserve">doi.org/10.1007/s13181-011-0178-y </t>
  </si>
  <si>
    <t>Digoxin</t>
  </si>
  <si>
    <t>Digitalis Herzglykoside HI NKA-Inhibitor VHF Q9</t>
  </si>
  <si>
    <t>Wasser- und Elektrolythaushalt</t>
  </si>
  <si>
    <r>
      <rPr>
        <sz val="11"/>
        <color rgb="FF000000"/>
        <rFont val="Calibri"/>
        <family val="2"/>
        <charset val="1"/>
      </rPr>
      <t>Na</t>
    </r>
    <r>
      <rPr>
        <vertAlign val="superscript"/>
        <sz val="11"/>
        <color rgb="FF000000"/>
        <rFont val="Calibri"/>
        <family val="2"/>
        <charset val="1"/>
      </rPr>
      <t>+</t>
    </r>
    <r>
      <rPr>
        <sz val="11"/>
        <color rgb="FF000000"/>
        <rFont val="Calibri"/>
        <family val="2"/>
        <charset val="1"/>
      </rPr>
      <t>/K</t>
    </r>
    <r>
      <rPr>
        <vertAlign val="superscript"/>
        <sz val="11"/>
        <color rgb="FF000000"/>
        <rFont val="Calibri"/>
        <family val="2"/>
        <charset val="1"/>
      </rPr>
      <t>+</t>
    </r>
    <r>
      <rPr>
        <sz val="11"/>
        <color rgb="FF000000"/>
        <rFont val="Calibri"/>
        <family val="2"/>
        <charset val="1"/>
      </rPr>
      <t>-ATPase-Inhibitoren (NKA-Inhibitoren)</t>
    </r>
  </si>
  <si>
    <t>WM: Hemmung der Na+-K+-ATPase im Herzmuskel mit verstärkter elektromechanischer Kopplung (NKA-Inhibitor/Herz- bzw, Digitalisglykosid)
W: positiv inotrop, negativ chronotrop, negativ dromotrop ("induzierter AV-Block"), gesteigerte Erregbarkeit des Myokards (auch "positiv bathmotrop"), Hemmung des Kaliumeinstroms</t>
  </si>
  <si>
    <t>chron. HI (Reservepräparat bei Sinusrhythmus [wg. positiv inotrop]), Tachyarrhythmie bei VHF/-flattern, paroxysomale supraventrikuläre Tachykardie</t>
  </si>
  <si>
    <r>
      <rPr>
        <sz val="11"/>
        <color rgb="FF000000"/>
        <rFont val="Calibri"/>
        <family val="2"/>
        <charset val="1"/>
      </rPr>
      <t xml:space="preserve">Sehr häufig bis häufig: Herzrhythmusstörungen jeder Art (sowohl bradykarde als auch tachykarde!), v.a. Schenkelblock, AV-Block I.-III.-Grades, ventrikuläre HRS (VES, Bigemini, ventrikulärte Tachykardien bis zum Kammerflimmern)
Gelegentlich: Veränderungen des Farbsehens (Gelbgrünsehen), GI 
</t>
    </r>
    <r>
      <rPr>
        <sz val="11"/>
        <color rgb="FF01FD55"/>
        <rFont val="Calibri"/>
        <family val="2"/>
        <charset val="1"/>
      </rPr>
      <t xml:space="preserve">
Selten bis sehr selten: Depressionen, Halluzinationen, Psychosen, Aphasien, Mesenterialinfarkt, Gynäkomastie</t>
    </r>
  </si>
  <si>
    <t>Sick-Sinus-Syndrom, Karotissinussyndrom, AV-Block II. Und III. Grades, WPW-Syndrom, schwere Hypokaliämie, Hypercalciämie, komplexe ventrikuläre HRS/Tachykardien, hypertrophe obstruktive Kardiomyopathie</t>
  </si>
  <si>
    <r>
      <rPr>
        <sz val="11"/>
        <color rgb="FF000000"/>
        <rFont val="Calibri"/>
        <family val="2"/>
        <charset val="1"/>
      </rPr>
      <t xml:space="preserve">geringe therapeutische Breite! Gefahr der Intoxikation (TDM angezeigt; typisch sind ventrikuläre Extrasystolen und eine AV-Blockierung)! Nur zur Frequenznormalisierung bei VHF oder HI (v.a. bei gleichzeitigem VHF) 
</t>
    </r>
    <r>
      <rPr>
        <sz val="11"/>
        <color rgb="FF01FD55"/>
        <rFont val="Calibri"/>
        <family val="2"/>
        <charset val="1"/>
      </rPr>
      <t xml:space="preserve">
"Klasse V-Antiarrhythmikum" nach Vaughn-Williams; früher das Medikament der 1. Wahl bei HI, heute geringe Bedeutung
Kalium hemmt die Digitaliswirkung, Calcium fördert selbige. Die Kombination Hykokaliämie und Hypercalcämie steigert die Digitalistoxizität am meisten!
</t>
    </r>
    <r>
      <rPr>
        <sz val="11"/>
        <color rgb="FF000000"/>
        <rFont val="Calibri"/>
        <family val="2"/>
        <charset val="1"/>
      </rPr>
      <t xml:space="preserve">Digoxin überwiegend unveränderte renale Elimination (Cave bei Niereninsuffizienz!); Digitoxin wird hepatisch ausgeschieden
</t>
    </r>
  </si>
  <si>
    <t>Digoxin.gif</t>
  </si>
  <si>
    <t>https://www.cvpharmacology.com/cardiostimulatory/digitalis</t>
  </si>
  <si>
    <t xml:space="preserve">Dobutamin </t>
  </si>
  <si>
    <t>Adrenerges+System Herz HI Schock αx-Adrenorezeptor-Agonisten βx-Adrenorezeptor-Agonisten</t>
  </si>
  <si>
    <t>WM: Stimulierende Wirkung an αx- und βx-Adrenorezeptoren 
W: positiv inotrop &gt; positiv chronotrop (β1 &gt; β2), vasodilatierend (β2 &gt; α1)</t>
  </si>
  <si>
    <t>Kardiogener Schock (Mittel erster Wahl), akute Linksherzdekompensation, akute HI, akuter MI, bei kardiochirurgischen OPs</t>
  </si>
  <si>
    <t>Übelkeit, KS, Herzklopfen, AP-Beschwerden, Tachykardie und Arrhythmieneigung</t>
  </si>
  <si>
    <t xml:space="preserve">Schockzustände durch Volumenmangel, mechanische Behinderung der ventrikulären Füllung (Perikardtamponade, Perikarditis, etc.), Kombination mit MAO-Hemmern </t>
  </si>
  <si>
    <t>SS/SZ: nur bei vitaler Indikation 
geringe HWZ, i.v. appliziert da PBV = 0</t>
  </si>
  <si>
    <t>Enoxaparin</t>
  </si>
  <si>
    <t>Niedermolekulare Heparine Antikoagulation LAE Myokardinfarkt TVT Q9</t>
  </si>
  <si>
    <t>Niedermolekulare Heparine (NMHs)</t>
  </si>
  <si>
    <t>WM/Klasse: niedermolekulare Heparine (NMH), weitere Vertreter: Certoparin (s.c.), Dalteparin (s.c.)
W: hohe Anti-Xa-Aktivität und geringe Antithrombinaktivität</t>
  </si>
  <si>
    <t xml:space="preserve">Prophylaxe einer TVT nach chir. OPs oder bei erhöhtem Risiko durch Vorerkrankungen und/oder eingeschränkter Mobilität, Behandlung von TVT und nicht zu lysierender/operierender LAE, bei allen Formen des ACS (auch bei nachfolgender PCI und in Kombination mit ASS) </t>
  </si>
  <si>
    <r>
      <rPr>
        <sz val="11"/>
        <color rgb="FF000000"/>
        <rFont val="Calibri"/>
        <family val="2"/>
        <charset val="1"/>
      </rPr>
      <t xml:space="preserve">sehr häufig: Erhöhung der Leberwerte (Transaminasen-Erhöhung um mehr als das 3-fache)
häufig: Blutungen, </t>
    </r>
    <r>
      <rPr>
        <sz val="11"/>
        <color rgb="FF01FD55"/>
        <rFont val="Calibri"/>
        <family val="2"/>
        <charset val="1"/>
      </rPr>
      <t>Thrombozytopenie, Thrombozytose, allergische Reaktionen, Kopfschmerzen, Urtikaria, Pruritus, Erythem, Hämatom/Schmerzen oder andere Reaktionen an der Injektionsstelle</t>
    </r>
  </si>
  <si>
    <r>
      <rPr>
        <sz val="11"/>
        <color rgb="FF000000"/>
        <rFont val="Calibri"/>
        <family val="2"/>
        <charset val="1"/>
      </rPr>
      <t xml:space="preserve">Überempfindlichkeit, HIT, akute relevante Blutung oder hohes Blutungsrisiko
</t>
    </r>
    <r>
      <rPr>
        <sz val="11"/>
        <color rgb="FF01FD55"/>
        <rFont val="Calibri"/>
        <family val="2"/>
        <charset val="1"/>
      </rPr>
      <t>Überempfindlichkeit, auch wenn diese gegen Heparin oder -derivate besteht, HIT innerhalb der letzten 100 d oder bei AK-Nachweis, akute relevante Blutung oder hohes Blutungsrisiko, Niereninsuffizienz St. lV, Abort, bakterielle Endokarditis, 24 h nach Enoxaparin-Gabe darf keine Spinal-/Periduralanästhesie durchgeführt werden</t>
    </r>
  </si>
  <si>
    <r>
      <rPr>
        <sz val="11"/>
        <color rgb="FF000000"/>
        <rFont val="Calibri"/>
        <family val="2"/>
        <charset val="1"/>
      </rPr>
      <t xml:space="preserve">Antidot (weitgehende Neutralisierung der gerinnungshemmenden Wirkung): Protamin
</t>
    </r>
    <r>
      <rPr>
        <sz val="11"/>
        <color rgb="FF01FD55"/>
        <rFont val="Calibri"/>
        <family val="2"/>
        <charset val="1"/>
      </rPr>
      <t>bei allen NMH ist ab einer GFR von unter 50 ml/Min eine Dosisanpassung erforderlich; es darf kein Austausch gegen ein anderes NMH durchgeführt werden</t>
    </r>
  </si>
  <si>
    <t>Antikoagulanzien.jpg</t>
  </si>
  <si>
    <t>Mutschler Arzneimittelwirkungen, 11. Auflage, S.480, Abb. 38.1</t>
  </si>
  <si>
    <t>Eplerenon</t>
  </si>
  <si>
    <t>MCR-Antagonist  Aldosteronantagonisten HI Mineralocorticoidrezeptor-Antagonisten RAAS Q9</t>
  </si>
  <si>
    <t>Mineralocorticoidrezeptor-Antagonisten (MCR-Antagonisten)</t>
  </si>
  <si>
    <t>WM: kompetitive Bindung/Hemmung an Aldosteronrezeptoren an der Kapilarseite im spätdistalen Tubulus und Sammelrohr (Mineralocorticoidrezeptor-Antagonisten; Aldosteronantagonisten)
W: Hemmung der Na+-Resorption und K+-Sekretion, Diurese ↑</t>
  </si>
  <si>
    <t>Add-On bei HI III. und IV. Grades (prognoseverbessernd!)</t>
  </si>
  <si>
    <r>
      <rPr>
        <sz val="11"/>
        <color rgb="FF000000"/>
        <rFont val="Calibri"/>
        <family val="2"/>
        <charset val="1"/>
      </rPr>
      <t xml:space="preserve">Kaum endokrine UAW
Sehr häufig bis häufig: Hyperkaliämie, Hypercholesterinämie, linksventrikuläre Insuffizienz, VHF, Hypotonie, Husten, GI, Hautausschlag, erhöhter Blutharnstoff und Serumkreatinin 
Gelegentlich: Hyponatriämie, Hyoertriglyceridämie, Infektionen, Hypothyreose, arterielle Thrombose an den Gliedmaßen, Angioödem, Cholezystitis, Gynäkomastie, </t>
    </r>
    <r>
      <rPr>
        <sz val="11"/>
        <color rgb="FF01FD55"/>
        <rFont val="Calibri"/>
        <family val="2"/>
        <charset val="1"/>
      </rPr>
      <t>erhöhter Blutglucosewert</t>
    </r>
  </si>
  <si>
    <t>Hyperkaliämie, schwere Niereninsuffizienz (ab GFR &lt;30 ml/min), Hypovolämie/Hyponatriämie</t>
  </si>
  <si>
    <t>SS/SZ: kontraindiziert
 Cave bei Kombination mit anderen Kalium-sparenden Substanzen!
teurer im Vergleich zu Spironolacton
Wirkung nur in Aldosteronanwesenheit!</t>
  </si>
  <si>
    <t>Diuretika.jpg</t>
  </si>
  <si>
    <t>Mutschler Arzneimittelwirkungen, 11. Auflage, S.604, Abb. 55.1</t>
  </si>
  <si>
    <t xml:space="preserve">Fondaparinux </t>
  </si>
  <si>
    <t>Antikoagulation LAE TVT Q9</t>
  </si>
  <si>
    <t>Heparinoide</t>
  </si>
  <si>
    <r>
      <rPr>
        <sz val="11"/>
        <color rgb="FF000000"/>
        <rFont val="Calibri"/>
        <family val="2"/>
        <charset val="1"/>
      </rPr>
      <t xml:space="preserve">WM/Klasse: Heparinoide, weitere Vertreter: NMH (s.c.)
W: selektiver Inhibitor des aktivierten Faktor Xa </t>
    </r>
    <r>
      <rPr>
        <sz val="11"/>
        <color rgb="FF01FD55"/>
        <rFont val="Calibri"/>
        <family val="2"/>
        <charset val="1"/>
      </rPr>
      <t>durch die Verstärkung des Xa-Inhibitors Antithrombin III; Fondaparinux inhibiert so Thrombusbildung und –wachstum</t>
    </r>
  </si>
  <si>
    <t>Therapie von Erwachsenen mit TVT oder LAE, Thromboembolieprophylaxe bei VHF, wenn UFH und NMH kontraindiziert sind; instabile AP oder NSTEMI, wenn ein dringlicher (&lt; 120 Min) invasiver Eingriff (PCI) nicht indiziert ist</t>
  </si>
  <si>
    <t xml:space="preserve">Blutungen, Thrombozytopenie </t>
  </si>
  <si>
    <r>
      <rPr>
        <sz val="11"/>
        <color rgb="FF000000"/>
        <rFont val="Calibri"/>
        <family val="2"/>
        <charset val="1"/>
      </rPr>
      <t xml:space="preserve">Überempfindlichkeit, akute relevante Blutung, </t>
    </r>
    <r>
      <rPr>
        <sz val="11"/>
        <color rgb="FF01FD55"/>
        <rFont val="Calibri"/>
        <family val="2"/>
        <charset val="1"/>
      </rPr>
      <t>akute bakterielle Endokarditis, schwere Nierenfunktionsstörung</t>
    </r>
  </si>
  <si>
    <t>Furosemid</t>
  </si>
  <si>
    <t>AHT Diuretika HI Schleifendiuretika Ödeme Q9</t>
  </si>
  <si>
    <r>
      <rPr>
        <sz val="11"/>
        <color rgb="FF000000"/>
        <rFont val="Calibri"/>
        <family val="2"/>
        <charset val="1"/>
      </rPr>
      <t>Inhibitoren des Na</t>
    </r>
    <r>
      <rPr>
        <vertAlign val="superscript"/>
        <sz val="11"/>
        <color rgb="FF000000"/>
        <rFont val="Calibri"/>
        <family val="2"/>
        <charset val="1"/>
      </rPr>
      <t>+</t>
    </r>
    <r>
      <rPr>
        <sz val="11"/>
        <color rgb="FF000000"/>
        <rFont val="Calibri"/>
        <family val="2"/>
        <charset val="1"/>
      </rPr>
      <t>/K</t>
    </r>
    <r>
      <rPr>
        <vertAlign val="superscript"/>
        <sz val="11"/>
        <color rgb="FF000000"/>
        <rFont val="Calibri"/>
        <family val="2"/>
        <charset val="1"/>
      </rPr>
      <t>+</t>
    </r>
    <r>
      <rPr>
        <sz val="11"/>
        <color rgb="FF000000"/>
        <rFont val="Calibri"/>
        <family val="2"/>
        <charset val="1"/>
      </rPr>
      <t>/2Cl</t>
    </r>
    <r>
      <rPr>
        <vertAlign val="superscript"/>
        <sz val="11"/>
        <color rgb="FF000000"/>
        <rFont val="Calibri"/>
        <family val="2"/>
        <charset val="1"/>
      </rPr>
      <t>-</t>
    </r>
    <r>
      <rPr>
        <sz val="11"/>
        <color rgb="FF000000"/>
        <rFont val="Calibri"/>
        <family val="2"/>
        <charset val="1"/>
      </rPr>
      <t>-Cotransporters (NKCC-Inhibitoren)</t>
    </r>
  </si>
  <si>
    <t>WM: reversible Hemmung des Na+-2Cl--K+-Symporters im aufsteigenden Ast der Henle-Schleife von luminal (NKCC-Inhibtoren/Schleifendiuretikum)
W: schnelle, kurze und starke Wirkung (Akuttherapie); Diurese ↑, frühe Vasodilatation</t>
  </si>
  <si>
    <t>akute kardiale, renale und hepatische Ödeme, akute HI (insbesondere bei Lungenödem), AHT, hypertensive Krise, drohendes und akutes Nierenversagen (mit Restdiurese), chronische Niereninsuffizenz, Zusatztherapie bei Hirnödem</t>
  </si>
  <si>
    <r>
      <rPr>
        <sz val="11"/>
        <color rgb="FF000000"/>
        <rFont val="Calibri"/>
        <family val="2"/>
        <charset val="1"/>
      </rPr>
      <t xml:space="preserve"> Sehr häufig bis häufig: Hyponatriämie, Hypokaliämie, Hypovolämie (und in Folge dessen erhöhtes Thromboserisiko), Hypotonie
</t>
    </r>
    <r>
      <rPr>
        <sz val="11"/>
        <color rgb="FF01FD55"/>
        <rFont val="Calibri"/>
        <family val="2"/>
        <charset val="1"/>
      </rPr>
      <t>Gelegentlich: Thrombozytopenie, Parästhesien, Vertigo, irreversible Taubheit
Selten bis sehr selten: KM-Depression, Agranulozytose, hämolytische/aplastische Anämie, Sehstörungen, Hörstörungen (ototoxsisch, da Symporter auch im Innenohr; v.a. wenn schnell i.v.; meist reversibel), Pankreatitis und intrahepatische Cholestase, Vaskulitis</t>
    </r>
  </si>
  <si>
    <t>Überempfindlichkeit gegenüber Sulfonamiden, Nierenversagen mit Anurie, schwere Leberfunktionsstörungen, schwere Hypokaliämie, Hyponatriämie, Hypovolämie</t>
  </si>
  <si>
    <t>SS/SZ: strenge Indikationsstellung/kontraindiziert 
"high-ceiling-diuretika" (späte Abflachung der Dosis-Wirkung-Kurve); Sulfonamid-Derivat
Schleifendiuretika sind auch bei einer GFR von &lt; 30 ml/min noch andwendbar!
WW: Verminderung der Elimination von Herzglykosiden, Lithium und Methotrexat</t>
  </si>
  <si>
    <t>Glyzeroltrinitrat</t>
  </si>
  <si>
    <t>NO-Donator AP Hypertonie Myokardinfarkt Q9</t>
  </si>
  <si>
    <t>NO/cGMP-System</t>
  </si>
  <si>
    <t>NO-Donatoren</t>
  </si>
  <si>
    <t xml:space="preserve">WM: NO-Donatoren
W: Nitrate wirken über Stickstoffmonoxid (NO)-Freisetzung direkt relaxierend auf glatte Muskelzellen und führen so zu einer Vasodilatation </t>
  </si>
  <si>
    <r>
      <rPr>
        <sz val="11"/>
        <color rgb="FF000000"/>
        <rFont val="Calibri"/>
        <family val="2"/>
        <charset val="1"/>
      </rPr>
      <t xml:space="preserve">Behandlung des akuten AP-Anfalls, Prophylaxe eines AP-Anfalls, akuter Myokardinfarkt </t>
    </r>
    <r>
      <rPr>
        <sz val="11"/>
        <color rgb="FF01FD55"/>
        <rFont val="Calibri"/>
        <family val="2"/>
        <charset val="1"/>
      </rPr>
      <t>(Reduktion des Blutungsrisikos während OPs)</t>
    </r>
    <r>
      <rPr>
        <sz val="11"/>
        <color rgb="FF000000"/>
        <rFont val="Calibri"/>
        <family val="2"/>
        <charset val="1"/>
      </rPr>
      <t xml:space="preserve"> </t>
    </r>
  </si>
  <si>
    <r>
      <rPr>
        <sz val="11"/>
        <color rgb="FF000000"/>
        <rFont val="Calibri"/>
        <family val="2"/>
        <charset val="1"/>
      </rPr>
      <t xml:space="preserve">häufig: Tachykardie, Kopfschmerzen („Nitratkopfschmerz“), Blutdruckabfall, </t>
    </r>
    <r>
      <rPr>
        <sz val="11"/>
        <color rgb="FF01FD55"/>
        <rFont val="Calibri"/>
        <family val="2"/>
        <charset val="1"/>
      </rPr>
      <t>Schwindel und Benommenheit, orthostatische Hypotension, Asthenie, Methämoglobinämie
gelegentlich: Flush und Hautrötungen, Bradykardie, Verstärkung der AP-Symptome, Synkopen</t>
    </r>
  </si>
  <si>
    <r>
      <rPr>
        <sz val="11"/>
        <color rgb="FF000000"/>
        <rFont val="Calibri"/>
        <family val="2"/>
        <charset val="1"/>
      </rPr>
      <t xml:space="preserve">akutes Kreislaufversagen, kardiogener Schock, ausgeprägte Hypotonie, Einnahme von Phosphodiesterase-5-Hemmern wie Sildenafil </t>
    </r>
    <r>
      <rPr>
        <sz val="11"/>
        <color rgb="FF01FD55"/>
        <rFont val="Calibri"/>
        <family val="2"/>
        <charset val="1"/>
      </rPr>
      <t xml:space="preserve">(durch synergistische Wirkung auf Blutdruck wird Blutdrucksenkung durch Nitrate erheblich verstärkt!) </t>
    </r>
  </si>
  <si>
    <r>
      <rPr>
        <sz val="11"/>
        <color rgb="FF000000"/>
        <rFont val="Calibri"/>
        <family val="2"/>
        <charset val="1"/>
      </rPr>
      <t xml:space="preserve">Glyceroltrinitrat u.a. Nitrate bewirken Toleranzentwicklung, nitratfreies Intervall von 8-10 h pro Tag empfohlen </t>
    </r>
    <r>
      <rPr>
        <sz val="11"/>
        <color rgb="FF01FD55"/>
        <rFont val="Calibri"/>
        <family val="2"/>
        <charset val="1"/>
      </rPr>
      <t>--&gt; mitochondriale Enzyme an der NO-Freisetzung beteiligt; diese werden bei Dauertherapie gehemmt, dadurch Toleranzentwicklung, Natriumnitroprussid wirkt nicht enzymatisch; es ist daher keine Toleranzentwicklung zu erwarten</t>
    </r>
  </si>
  <si>
    <t>Nitrate.jpg</t>
  </si>
  <si>
    <t>Mutschler Arzneimittelwirkungen, 11. Auflage, S.429, Abb. 33.3</t>
  </si>
  <si>
    <t>Heparin</t>
  </si>
  <si>
    <t>Unfraktionierte Heparine Antikoagulation HIT Myokardinfarkt TVT LAE Q9</t>
  </si>
  <si>
    <t>Unfraktionierte Heparine (UFHs)</t>
  </si>
  <si>
    <t xml:space="preserve">W: Aktivitätssteigerung von Antithrombin III, dadurch Hemmung der Gerinnungsfaktoren lla, Vlla; Xa, XIa und XIIa
WM/Klasse: unfraktionierte Heparine </t>
  </si>
  <si>
    <r>
      <rPr>
        <sz val="11"/>
        <color rgb="FF000000"/>
        <rFont val="Calibri"/>
        <family val="2"/>
        <charset val="1"/>
      </rPr>
      <t xml:space="preserve">Prophylaxe thromboembolischer Erkrankungen, Behandlung art./venöser thrombembolischer Erkrankungen inkl. ACS, </t>
    </r>
    <r>
      <rPr>
        <sz val="11"/>
        <color rgb="FF01FD55"/>
        <rFont val="Calibri"/>
        <family val="2"/>
        <charset val="1"/>
      </rPr>
      <t xml:space="preserve">zur Antikoagulation bei OPs mit extrakorporalem Kreislauf  </t>
    </r>
    <r>
      <rPr>
        <sz val="11"/>
        <color rgb="FF000000"/>
        <rFont val="Calibri"/>
        <family val="2"/>
        <charset val="1"/>
      </rPr>
      <t xml:space="preserve"> </t>
    </r>
  </si>
  <si>
    <r>
      <rPr>
        <sz val="11"/>
        <color rgb="FF000000"/>
        <rFont val="Calibri"/>
        <family val="2"/>
        <charset val="1"/>
      </rPr>
      <t xml:space="preserve">sehr häufig: Blutungen, Leberenzymanstieg
</t>
    </r>
    <r>
      <rPr>
        <sz val="11"/>
        <color rgb="FF01FD55"/>
        <rFont val="Calibri"/>
        <family val="2"/>
        <charset val="1"/>
      </rPr>
      <t>häufig: Thrombozytopenie (HIT I), lokale Reaktion an Injektionsstelle 
gelegentlich: allergische Reaktionen, Alopezie, Hautnekrosen</t>
    </r>
  </si>
  <si>
    <r>
      <rPr>
        <sz val="11"/>
        <color rgb="FF000000"/>
        <rFont val="Calibri"/>
        <family val="2"/>
        <charset val="1"/>
      </rPr>
      <t xml:space="preserve">HIT ll in der Vorgeschichte, akute Blutung, erhöhtes Blutungsrisiko
</t>
    </r>
    <r>
      <rPr>
        <sz val="11"/>
        <color rgb="FF01FD55"/>
        <rFont val="Calibri"/>
        <family val="2"/>
        <charset val="1"/>
      </rPr>
      <t>Erkrankungen mit hämorrhagischer Diathese oder eine Läsion mit Blutungsneigung, Abortus imminens</t>
    </r>
  </si>
  <si>
    <r>
      <rPr>
        <sz val="11"/>
        <color rgb="FF000000"/>
        <rFont val="Calibri"/>
        <family val="2"/>
        <charset val="1"/>
      </rPr>
      <t xml:space="preserve">Antidot: Protaminsulfat
</t>
    </r>
    <r>
      <rPr>
        <sz val="11"/>
        <color rgb="FF01FD55"/>
        <rFont val="Calibri"/>
        <family val="2"/>
        <charset val="1"/>
      </rPr>
      <t>differentielle, dosisabhängige Wirksamkeit auf unterschiedliche Gerinnungsfaktoren - low dose Heparin wirkt v.a. über die Hemmung der Faktoren IIa und Xa</t>
    </r>
  </si>
  <si>
    <t>Hydrochlorothiazid</t>
  </si>
  <si>
    <t>AHT Diuretika HI Thiaziddiuretika Ödeme Q9</t>
  </si>
  <si>
    <r>
      <rPr>
        <sz val="11"/>
        <color rgb="FF000000"/>
        <rFont val="Calibri"/>
        <family val="2"/>
        <charset val="1"/>
      </rPr>
      <t>Inhibitoren des Na</t>
    </r>
    <r>
      <rPr>
        <vertAlign val="superscript"/>
        <sz val="11"/>
        <color rgb="FF000000"/>
        <rFont val="Calibri"/>
        <family val="2"/>
        <charset val="1"/>
      </rPr>
      <t>+</t>
    </r>
    <r>
      <rPr>
        <sz val="11"/>
        <color rgb="FF000000"/>
        <rFont val="Calibri"/>
        <family val="2"/>
        <charset val="1"/>
      </rPr>
      <t>/Cl</t>
    </r>
    <r>
      <rPr>
        <vertAlign val="superscript"/>
        <sz val="11"/>
        <color rgb="FF000000"/>
        <rFont val="Calibri"/>
        <family val="2"/>
        <charset val="1"/>
      </rPr>
      <t>-</t>
    </r>
    <r>
      <rPr>
        <sz val="11"/>
        <color rgb="FF000000"/>
        <rFont val="Calibri"/>
        <family val="2"/>
        <charset val="1"/>
      </rPr>
      <t>-Cotransporters (NCC-Inhibitoren)</t>
    </r>
  </si>
  <si>
    <t>WM: reversible Hemmung des Na+Cl--Symporters im distalen Tublus (Inhibitor des Na+-Cl--Cotransports/NCC-Inhibitoren); Thiaziddiuretikum
W: Diurese ↑, Verminderung der GFR, Verlust von Na+, Cl-, K+ und Mg+, Calciumretention, Hemmung der Insulinfreisetzung</t>
  </si>
  <si>
    <t>AHT, Add-on bei HI (kein prognostischer Benefit; nur bei Ödemen), chron. kardiale, renale und hepatische Ödeme, Diabetes insipidus</t>
  </si>
  <si>
    <r>
      <rPr>
        <sz val="11"/>
        <color rgb="FF000000"/>
        <rFont val="Calibri"/>
        <family val="2"/>
        <charset val="1"/>
      </rPr>
      <t xml:space="preserve">Sehr häufig bis häufig: Hypokaliämie, Hyponatriämie, Hypochlorämie, Hyperkalzämie, Hyperglykämie und Glukosurie (diabetogen), Hyperurikämie, Erhöhrung der Serumlipide
</t>
    </r>
    <r>
      <rPr>
        <strike/>
        <sz val="11"/>
        <color rgb="FF000000"/>
        <rFont val="Calibri"/>
        <family val="2"/>
        <charset val="1"/>
      </rPr>
      <t xml:space="preserve">
</t>
    </r>
    <r>
      <rPr>
        <sz val="11"/>
        <color rgb="FF000000"/>
        <rFont val="Calibri"/>
        <family val="2"/>
        <charset val="1"/>
      </rPr>
      <t>Hydrochlorothiazid erhöht das Risiko für nichtmelanozytären Hautkrebs.</t>
    </r>
  </si>
  <si>
    <t>Überempfindlichkeit gegenüber Sulfonamiden, schwere Hypokaliämie, Hypovolämie, Hyperurikämie und – calciämie, stark eingeschränkte Nierenfunktion (GFR &lt; 30 ml/min; Ausnahme: sequentielle Nephronblockade!), Gicht</t>
  </si>
  <si>
    <t xml:space="preserve"> SS/SZ: kontraindiziert 
"low-ceiling-diuretika" (rasche Abflachung der Dosis-Wirkung-Kurve); Sulfonamid-Derivate; Benzothiadiazine
Sinnvoll ist die Kombination mit Kalium-sparenden- Diuretika (Amilorid, Triamteren) 
Patienten über Sonnenschutzmaßnahmen aufklären,
bei Hochrisikopatienten für nichtmelanozytären Hautkrebs Einsatz von HCT sorgfältig prüfen</t>
  </si>
  <si>
    <t>Idarucizumab</t>
  </si>
  <si>
    <t xml:space="preserve"> Antidot Dabigatran Q9</t>
  </si>
  <si>
    <t>Neutralisatoren von Thrombin-Inhibitoren</t>
  </si>
  <si>
    <t>W: das humanisierte monoklonale Antikörperfragment, bindet mit sehr hoher Affinität an Dabigatran und neutralisiert damit dessen antikoagulatorische Wirkung
WM: Neutralisation von Thrombin-Inhibitoren</t>
  </si>
  <si>
    <t xml:space="preserve">bei mit Dabigatran behandelten Patienten, bei denen die Wirkung aufgrund einer Notfalloperation oder einer lebensbedrohlichen/nicht beherrschbaren Blutung aufgehoben werden muss  </t>
  </si>
  <si>
    <t>Idarucizumab.jpg</t>
  </si>
  <si>
    <t>https://www.creativebiolabs.net/idarucizumab-overview.htm</t>
  </si>
  <si>
    <t>Ivabradin</t>
  </si>
  <si>
    <t>HCN4-Kanal-Blocker funny-channel-Kanal-Blocker  Herzinsuffizienz KHK Q9</t>
  </si>
  <si>
    <t>HCN4-Kanal-Blocker</t>
  </si>
  <si>
    <t>W: rein herzfrequenzsenkendes AM (wirkt nicht negativ inotrop)
WM: HCN4 ("funny channel") -Kanal-Blocker</t>
  </si>
  <si>
    <t xml:space="preserve">Reservemittel für stabile KHK und chron. Herzinsuffizienz (NYHA ll-lV) im Sinusrhythmus in Kombi mit Betablockern bei unzureichender Wirksamkeit oder bei Kontraindikation gegen Betablocker </t>
  </si>
  <si>
    <r>
      <rPr>
        <sz val="11"/>
        <color rgb="FF000000"/>
        <rFont val="Calibri"/>
        <family val="2"/>
        <charset val="1"/>
      </rPr>
      <t xml:space="preserve">sehr häufig: Lichtbedingte visuelle Symptome (Phosphene); Bradykardie
</t>
    </r>
    <r>
      <rPr>
        <sz val="11"/>
        <color rgb="FF01FD55"/>
        <rFont val="Calibri"/>
        <family val="2"/>
        <charset val="1"/>
      </rPr>
      <t>häufig: verschwommenes Sehen, Kopfschmerzen (v.a. im 1. Behandlungsmonat), Schwindel, Bradykardie, AV-Block 1. Grades, VES, VHF, unkontrollierter Blutdruck</t>
    </r>
    <r>
      <rPr>
        <sz val="11"/>
        <color rgb="FF000000"/>
        <rFont val="Calibri"/>
        <family val="2"/>
        <charset val="1"/>
      </rPr>
      <t xml:space="preserve"> </t>
    </r>
  </si>
  <si>
    <r>
      <rPr>
        <sz val="11"/>
        <color rgb="FF000000"/>
        <rFont val="Calibri"/>
        <family val="2"/>
        <charset val="1"/>
      </rPr>
      <t xml:space="preserve">HF in Ruhe unter 70/Min, Hypotonie, </t>
    </r>
    <r>
      <rPr>
        <sz val="11"/>
        <color rgb="FF01FD55"/>
        <rFont val="Calibri"/>
        <family val="2"/>
        <charset val="1"/>
      </rPr>
      <t>kardial-instabile, schwere Leberinsuffizienz, SSW, Stillzeit, glz. Anwendung von CYP3A4-Hemmern oder den Calciumantagonisten Verapamil/Diltiazem</t>
    </r>
  </si>
  <si>
    <t>keine Prognoseverbesserung, daher Medikament der 2. Wahl</t>
  </si>
  <si>
    <t xml:space="preserve">Metoprolol </t>
  </si>
  <si>
    <t>Adrenerges+System AHT Beta-Blocker Herz HI HRS KHK β1-Adrenorezeptor-Antagonisten</t>
  </si>
  <si>
    <t xml:space="preserve">WM: Relative und dosisabhängige "kardioselektive" Blockade der β1-Adrenorezeptoren
W: Frequenz, Kontraktilität, Schlagkraft und Überleitungsgeschwindigkeit des Herzens ↓, Reninfreisetzung der Niere ↓, Hemmung der Lipolyse </t>
  </si>
  <si>
    <t>(stabile) KHK und arterielle Hypertonie, (stabile) Herzinsuffizienz, zur Frequenzkontrolle bei Herzrhythmusstörungen, Offenwinkelglaukom, Migräneprophylaxe</t>
  </si>
  <si>
    <t>Häufig: Müdigkeit, Schwindel, KS, GI
Gelegentlich: Depressionen, Verwirrtheit, Halluzinationen, Parästhesien, Hyperhidrosis, allergische Dermatitis
Selten bis sehr selten: Steigerung eines Hyperglykämierisikos bei DM durch Symptommaskierung, Gewicht ↑, Broncho- und periphere Vasokonstriktion, HRS, Erektions- und Libidostörung, HDL ↓, LDL ↑, Verschlechterung einer Psoriasis</t>
  </si>
  <si>
    <t>Asthma bronchiale, Bradykardie und Hypotension, Dekompensierte Herzinsuffizienz und frischer Myokardinfarkt, kardialer Schock und metabolische Azidose, AV-Block II. und III. Grades und sick sinus syndrome, pAVK und Prinzmetal-Angina, Kombination mit Verapamil, Diltiazem oder Ranolazin; Cave bei der Kombination mit MAO-Hemmern (UAW ↑)</t>
  </si>
  <si>
    <t>SS/SZ: bei strenger Indikationsstellung zulässig
auch als ZOK-Formulierung verfügbar
stark Cyp2D6-abhängige Metabolisierung
Medikament ausschleichen → sonst "Rebound"risiko wegen Rezeptordichteerhöhung
Je höher der Sympathotonus, desto ausgeprägter die Effekte der Betablockade!</t>
  </si>
  <si>
    <t xml:space="preserve"> Natriumnitroprussid</t>
  </si>
  <si>
    <t>Noradrenalin</t>
  </si>
  <si>
    <t>WM: Stimulierende Wirkung an αx- und βx-Adrenorezeptoren (Sympathomimetikum")
W: ausgeprägte Vasokonstriktion mit reflektorischer HF-Abnahme (v. a. α-Rezeptor-Stimulation)</t>
  </si>
  <si>
    <t>Septischer Schock (Mittel erster Wahl), ultima ratio bei anderen Schockformen, lokal als Vasokonstriktorenzusatz</t>
  </si>
  <si>
    <t>Myokardischämie, exzessiver RR-Anstieg mit reflektorischer Bradykardie, Übelkeit, Erbrechen, Kältegefühl, Blässe, Schwitzen, Oligo-/Anurie, Uteruskontraktionen in der SS, in hohen Dosen Hyperglykämie</t>
  </si>
  <si>
    <t>AHT/Cor Pulmonale, Tachykardie und Tachyarrhythmie, Hyperthyreose, KHK, Phäochromozytom, Engwinkelglaukom</t>
  </si>
  <si>
    <t>SS/SZ: nur bei vitaler Indikation 
geringe HWZ, i.v. appliziert da PBV ~ 0</t>
  </si>
  <si>
    <t>Phenprocoumon</t>
  </si>
  <si>
    <t>Vitamin-K-Antagonist Antikoagulation LAE VHF Q9</t>
  </si>
  <si>
    <t>Vitamin-K-Antagonisten (VKAs)</t>
  </si>
  <si>
    <t xml:space="preserve">W: hemmt die Bildung von den aktiven Gerinnungsfaktoren ll, Vll, lX und X, sowie Protein C und S
WM: Vitamin-K-Antagonist aus der Cumarin-Gruppe </t>
  </si>
  <si>
    <t>Behandlung und Prophylaxe von Thrombose und Embolie (z.B. bei VHF), mechanischer Herzklappenersatz</t>
  </si>
  <si>
    <t xml:space="preserve">sehr häufig: Blutungen </t>
  </si>
  <si>
    <t xml:space="preserve">Blutungsrisiko, Niereninsuffizienz, schwere Leberparenchymerkrankungen </t>
  </si>
  <si>
    <r>
      <rPr>
        <sz val="11"/>
        <color rgb="FF000000"/>
        <rFont val="Calibri"/>
        <family val="2"/>
        <charset val="1"/>
      </rPr>
      <t xml:space="preserve">Besond: 
wirkt nicht auf bereits gebildete Gerinnungsfaktoren, daher beginnt die Wirkung erst nach 1-2 d und die volle Wirksamkeit wird erst nach 4-6 d erreicht; gut für die Langzeitbehandlung geeignet, denn durch Bindung an Albumin ergibt sich eine Depotfunktion mit relativ konstanten Konzentrationen
Regelmäßige Kontrollen der Thromboplastinzeit (INR) nötig!
Metabolisierung über CYP2C9 (genetischer Polymorphismus) und CYP3A4
WW mit Lebensmitteln und vielen Medikamenten
Antidot: Vitamin K, bei schweren Blutungen Prothrombinkomplexkonzentrat 
</t>
    </r>
    <r>
      <rPr>
        <sz val="11"/>
        <color rgb="FF01FD55"/>
        <rFont val="Calibri"/>
        <family val="2"/>
        <charset val="1"/>
      </rPr>
      <t>CAVE: Cumarin-Nekrosen zu Beginn einer Therapie mit Marcumar: da Protein C und S eine kürzere Halbwertszeit besitzen, besteht zu Beginn die Gefahr einer zu starken Gerinnungsreaktion bei noch intakten Gerinnungsfaktoren und bereits gehemmten Gerinnungsinhibitoren --&gt; prophylaktische Gabe von Heparin zu Beginn einer Marcumar-Therapie 
CAVE: Wirkung endet aufgrund der Depotfunktion nicht sofort mit dem Absetzen</t>
    </r>
  </si>
  <si>
    <t>Vitamin-K-Antagonisten.jpg</t>
  </si>
  <si>
    <t>Mutschler Arzneimittelwirkungen, 11. Auflage, S.487, Abb. 38.6</t>
  </si>
  <si>
    <t>Propranolol</t>
  </si>
  <si>
    <t>Adrenerges+System Beta-Blocker Hyperthyreose Migräneprophylaxe Thyreotoxische+Krise βx-Adrenorezeptor-Antagonisten Q9</t>
  </si>
  <si>
    <r>
      <rPr>
        <sz val="11"/>
        <color rgb="FF000000"/>
        <rFont val="Calibri"/>
        <family val="2"/>
        <charset val="1"/>
      </rPr>
      <t>β</t>
    </r>
    <r>
      <rPr>
        <vertAlign val="subscript"/>
        <sz val="11"/>
        <color rgb="FF000000"/>
        <rFont val="Calibri"/>
        <family val="2"/>
        <charset val="1"/>
      </rPr>
      <t>x</t>
    </r>
    <r>
      <rPr>
        <sz val="11"/>
        <color rgb="FF000000"/>
        <rFont val="Calibri"/>
        <family val="2"/>
        <charset val="1"/>
      </rPr>
      <t>-Adrenorezeptor-Antagonisten (β</t>
    </r>
    <r>
      <rPr>
        <vertAlign val="subscript"/>
        <sz val="11"/>
        <color rgb="FF000000"/>
        <rFont val="Calibri"/>
        <family val="2"/>
        <charset val="1"/>
      </rPr>
      <t>x</t>
    </r>
    <r>
      <rPr>
        <sz val="11"/>
        <color rgb="FF000000"/>
        <rFont val="Calibri"/>
        <family val="2"/>
        <charset val="1"/>
      </rPr>
      <t>AR-Antagonisten)</t>
    </r>
  </si>
  <si>
    <t>WM: "Nicht-kardioselektive" Blockade der βx-Adrenorezeptoren
W:
β1: Frequenz, Kontraktilität, Schlagkraft und Überleitungsgeschwindigkeit des Herzens ↓, Reninfreisetzung der Niere ↓
β2: Hemmung der Insulinsekretion, Hemmung der Glykogenolyse, Konstriktion der glatten Muskelzellen, Kammerwasserproduktion ↓  
Hemmung der Konversion von T4 zu T3 (durch Hemmung der Deiodinase) → Symptome einer Hyperthyreose werden gemildert</t>
  </si>
  <si>
    <t>Thyreotoxische Krise, initial passagere Hyperthyreose, Migräneprophylaxe</t>
  </si>
  <si>
    <t>Durch Blockade der β1-Adreonorezeptoren:
Sehr häufig bis häufig: Schwindel, GI, Hypotonie, Depressionen, Haarausfall möglich
 Gelegentlich: Verwirrtheit, Parästhesien, Konjunktivitis
Selten bis sehr selten: Steigerung eines Hyperglykämierisikos bei DM durch Symptommaskierung, Gewicht ↑, Broncho- und periphere Vasokonstriktion, HRS, Erektions- und Libidostörung, HDL ↓, LDL ↑
Durch Blockade der β2-Adreonorezeptoren: 
Bronchokonstriktion, Verstärkung peripherer Durchblutungsstörungen (z.B. Raynaud-Syndrom), Hypoglykämieneigung bei DM</t>
  </si>
  <si>
    <r>
      <rPr>
        <sz val="11"/>
        <color rgb="FF000000"/>
        <rFont val="Calibri"/>
        <family val="2"/>
        <charset val="1"/>
      </rPr>
      <t xml:space="preserve">Asthma bronchiale, Bradykardie und Hypotension, dekompensierte Herzinsuffizienz und frischer Myokardinfarkt, AV-Block II. Und III. Grades und Sick-Sinus-Syndrome, </t>
    </r>
    <r>
      <rPr>
        <sz val="11"/>
        <color rgb="FF01FD55"/>
        <rFont val="Calibri"/>
        <family val="2"/>
        <charset val="1"/>
      </rPr>
      <t>pAVK und Prinzmetal-Angina, Kombination mit Verapamil, Diltiazem oder Ranolazin; Cave bei der Kombination mit MAO-Hemmern (UAW ↑)</t>
    </r>
  </si>
  <si>
    <t>SS/SZ: bei strenger Indikationsstellung zulässig
Medikament ausschleichen → sonst "Rebound"risiko wegen Rezeptordichteerhöhung
Je höher der Sympathotonus, desto ausgeprägter die Effekte der Betablockade!</t>
  </si>
  <si>
    <t>Protamin</t>
  </si>
  <si>
    <t>Heparin-Neutralisatoren Antidot Q9</t>
  </si>
  <si>
    <t>Heparin-Neutralisatoren</t>
  </si>
  <si>
    <r>
      <rPr>
        <sz val="11"/>
        <color rgb="FF000000"/>
        <rFont val="Calibri"/>
        <family val="2"/>
        <charset val="1"/>
      </rPr>
      <t>W: Protamin</t>
    </r>
    <r>
      <rPr>
        <strike/>
        <sz val="11"/>
        <color rgb="FF000000"/>
        <rFont val="Calibri"/>
        <family val="2"/>
        <charset val="1"/>
      </rPr>
      <t>sulfat</t>
    </r>
    <r>
      <rPr>
        <sz val="11"/>
        <color rgb="FF000000"/>
        <rFont val="Calibri"/>
        <family val="2"/>
        <charset val="1"/>
      </rPr>
      <t xml:space="preserve"> bildet einen Komplex mit Heparinen, dadurch Neutralisierung der antikoagulatorischen Wirkung 
</t>
    </r>
    <r>
      <rPr>
        <strike/>
        <sz val="11"/>
        <color rgb="FF01FD55"/>
        <rFont val="Calibri"/>
        <family val="2"/>
        <charset val="1"/>
      </rPr>
      <t xml:space="preserve">
</t>
    </r>
    <r>
      <rPr>
        <sz val="11"/>
        <color rgb="FF000000"/>
        <rFont val="Calibri"/>
        <family val="2"/>
        <charset val="1"/>
      </rPr>
      <t xml:space="preserve">WM: Heparin-Neutralisatoren </t>
    </r>
  </si>
  <si>
    <r>
      <rPr>
        <sz val="11"/>
        <color rgb="FF000000"/>
        <rFont val="Calibri"/>
        <family val="2"/>
        <charset val="1"/>
      </rPr>
      <t xml:space="preserve">zur Aufhebung der gerinnungshemmenden Wirkung von Heparin oder NMH, Notfallsituationen
</t>
    </r>
    <r>
      <rPr>
        <sz val="11"/>
        <color rgb="FF01FD55"/>
        <rFont val="Calibri"/>
        <family val="2"/>
        <charset val="1"/>
      </rPr>
      <t>zur Aufhebung der gerinnungshemmenden Wirkung von Heparin oder NMH bei Blutungen, Notfalloperationen, Heparinüberdosierung oder im Rahmen einer kardiopulmonalen Bypass-Operation</t>
    </r>
  </si>
  <si>
    <t>Hypotonie, pulmonale Hypertonie und allergische Reaktionen</t>
  </si>
  <si>
    <t>Ramipril</t>
  </si>
  <si>
    <t>AHT Angiotensin-Converting-Enzyme-Inhibitoren ACE-Inhibitoren HI Prilate RAAS Q9</t>
  </si>
  <si>
    <t>Angiotensin-Converting-Enzyme-Inhibitoren (ACE-Inhibitoren)</t>
  </si>
  <si>
    <r>
      <rPr>
        <sz val="11"/>
        <color rgb="FF000000"/>
        <rFont val="Calibri"/>
        <family val="2"/>
        <charset val="1"/>
      </rPr>
      <t xml:space="preserve">WM: Hemmung des Angiotensin-Converting-Enzyms (Angiotensin-Converting-Enzyme-Inhibitor/ACE-Inhibitor); Ramipril ist ein Prodrug!
W: Vasodilatation durch Angiotensin II ↓ und Wirkverlängerung des Bradykinins, Myokard- und Gefäßhypertrophie ↓, Remodeling nach MI ↓, nephroprotektische Effekte, </t>
    </r>
    <r>
      <rPr>
        <sz val="11"/>
        <color rgb="FF01FD55"/>
        <rFont val="Calibri"/>
        <family val="2"/>
        <charset val="1"/>
      </rPr>
      <t>Aldosteron-Sekretion ↓ (Na+- und H2O-Retention ↓)</t>
    </r>
  </si>
  <si>
    <t>AHT (erste Wahl bei DM), chronische HI (u. a. gegen Remodeling), post-MI (gegen Remodeling), (diabetische) Nephropathie</t>
  </si>
  <si>
    <t>Sehr häufig bis häufig: Serumkalium ↑, Hypotonie und Flush, trockener Reizhusten</t>
  </si>
  <si>
    <t>beidseitige Nierenarterienstenose (hier ist der hohe Blutdruck notwendig, damit die Niere "hinter der Stenose" die Filtrationsleistung aufrecht erhalten kann; ACE-Hemmer --&gt; verminderte Angiotensin-II-Konzentration --&gt; Vasodilatation am vas afferens/efferens --&gt; Abnahme des Filtrationsdrucks im Glomerulus --&gt; ggf. akutes Nierenversagen), Kombination mit ARNI, totale NI/Dialyse, trockener Reizhusten und/oder angioneurotisches Ödem bei Gabe (wg. Bradykinin ↑; Umstellung auf Sartane!)</t>
  </si>
  <si>
    <r>
      <rPr>
        <sz val="11"/>
        <color rgb="FF000000"/>
        <rFont val="Calibri"/>
        <family val="2"/>
        <charset val="1"/>
      </rPr>
      <t xml:space="preserve">SS: fetotoxisch in 2.+3. Schwangerschaftstrimenon Nierenfunktionsminderung, Oligohydramnion
</t>
    </r>
    <r>
      <rPr>
        <sz val="11"/>
        <color rgb="FF01FD55"/>
        <rFont val="Calibri"/>
        <family val="2"/>
        <charset val="1"/>
      </rPr>
      <t xml:space="preserve">
Ramipril ist ein Prodrug!
Medikament einschleichen; nach 10 Tagen Serum-Kalium und Serum-Kreatinin kontrollieren!
WW: Lithium-Spiegel ↑, RR-Senkung durch COX-Hemmer ↑</t>
    </r>
  </si>
  <si>
    <t>ACE-Hemmer.jpg oder Hypertonie.jpg oder Herzinsuffizienz.jpg</t>
  </si>
  <si>
    <t xml:space="preserve">Herzinsuffizienz: Mutschler Arzneimittelwirkungen, 11. Auflage, S.437, Abb. 34.1
Hypertonie: Mutschler Arzneimittelwirkungen, 11. Auflage, S.378, Abb. 28.1
ACE-Hemmer: Mutschler Arzneimittelwirkungen, 11. Auflage, S.380, Abb. 28.2
</t>
  </si>
  <si>
    <t>Rivaroxaban</t>
  </si>
  <si>
    <t>Faktor-Xa-Inhibitoren Antikoagulation LAE TVT Q9</t>
  </si>
  <si>
    <t>Faktor-Xa-Inhibitoren</t>
  </si>
  <si>
    <t>W: Inhibition der Bildung von Thrombin und Thromben (dosisabhängige Beeinflussung der Prothrombinzeit)
WM/Klasse: indirekte Faktor-Xa-Inhibitoren, weitere Vertreter: Edoxaban (oral), Apixaban (oral)</t>
  </si>
  <si>
    <t>Prophylaxe einer TVT nach elektiver OP, sowie nach rezidivierender TVT/LAE und als Schlaganfallprophylaxe bei VHF; Behandlung von TVT/LAE</t>
  </si>
  <si>
    <r>
      <rPr>
        <sz val="11"/>
        <color rgb="FF000000"/>
        <rFont val="Calibri"/>
        <family val="2"/>
        <charset val="1"/>
      </rPr>
      <t xml:space="preserve">erhöhtes Risiko für Blutungen
</t>
    </r>
    <r>
      <rPr>
        <sz val="11"/>
        <color rgb="FF01FD55"/>
        <rFont val="Calibri"/>
        <family val="2"/>
        <charset val="1"/>
      </rPr>
      <t>erhöhtes Risiko für Blutungen jeglicher Lokalisation insb. bei Risikopatienten (schlecht eingestellter Hypertonus oder Homöostase beeinflussende Medikation), Anämie und die jeweiligen zugehörigen Symptome wie Schwindel, Schwäche oder Dyspnoe, Übelkeit und GI-Beschwerden, Pruritus, eingeschränkte Nierenfunktion</t>
    </r>
  </si>
  <si>
    <r>
      <rPr>
        <sz val="11"/>
        <color rgb="FF000000"/>
        <rFont val="Calibri"/>
        <family val="2"/>
        <charset val="1"/>
      </rPr>
      <t xml:space="preserve">Überempfindlichkeit, Lebererkrankungen akute relevante Blutung oder anderweitig erhöhtes Blutungsrisiko, Niereninsuffizienz St. IV 
</t>
    </r>
    <r>
      <rPr>
        <sz val="11"/>
        <color rgb="FF01FD55"/>
        <rFont val="Calibri"/>
        <family val="2"/>
        <charset val="1"/>
      </rPr>
      <t xml:space="preserve">Lebererkrankungen mit Koagulopathie oder erhöhtem Blutungsrisiko, sowie Leberzirrhose der Stadien Child Pugh B und C (verringerte Produktion von Gerinnungsfaktoren), akute relevante Blutung oder anderweitig erhöhtes Blutungsrisiko, Niereninsuffizienz St. IV (da erhöhte Plasmakonzentration von Rivaroxaban) </t>
    </r>
  </si>
  <si>
    <r>
      <rPr>
        <sz val="11"/>
        <color rgb="FF000000"/>
        <rFont val="Calibri"/>
        <family val="2"/>
        <charset val="1"/>
      </rPr>
      <t xml:space="preserve">Besond.: Antidot - Andexanet alpha
</t>
    </r>
    <r>
      <rPr>
        <sz val="11"/>
        <color rgb="FF01FD55"/>
        <rFont val="Calibri"/>
        <family val="2"/>
        <charset val="1"/>
      </rPr>
      <t>Bei eingeschränkter Nierenfunktion ist der Plasmaspiegel von Rivaroxaban und das Blutungsrisiko erhöht, eine Dosisreduktion kann erwogen werden. 
Verstoffwechslung u.a. über CYP3A4 und Transport über p-Glykoprotein -&gt; Medikamente, die darauf einwirken, können die Bioverfügbarkeit verändern</t>
    </r>
  </si>
  <si>
    <t>Sacubitril / Valsartan</t>
  </si>
  <si>
    <t>Neprilysin-Inhibitoren Angiotensin-II-Rezeptorblocker ARNI HI Neprilysin-Inhibitoren Q9</t>
  </si>
  <si>
    <t>Peptiderge Systeme</t>
  </si>
  <si>
    <t>Neprilysin-Inhibitoren</t>
  </si>
  <si>
    <t>W: Diurese ↑, Vasodilatation ↑, RAAS ↓
WM: Kombination von Angiotensin-II-Rezeptorblocker Valsartan und Neprilysin-Inhibitor Sabubitril (Prodrug; dieser hemmt den Abbau der natriuretischen Peptide); "ARNI" (Angiotensin-II-Rezeptorblocker-Neprilysin-Inhibitor)</t>
  </si>
  <si>
    <t>Chronische Herzinsuffizienz mit reduzierter Auswurfleistung</t>
  </si>
  <si>
    <r>
      <rPr>
        <sz val="11"/>
        <color rgb="FF000000"/>
        <rFont val="Calibri"/>
        <family val="2"/>
        <charset val="1"/>
      </rPr>
      <t xml:space="preserve">Sehr häufig bis häufig: Anämie, Hyperkaliämie, Hypokaliämie, Hypoglykämie, (orthostatische) Hypotonie, Husten, GI, Nierenfunktionsstörungen bis zum Nierenversagen
</t>
    </r>
    <r>
      <rPr>
        <strike/>
        <sz val="11"/>
        <color rgb="FF000000"/>
        <rFont val="Calibri"/>
        <family val="2"/>
        <charset val="1"/>
      </rPr>
      <t xml:space="preserve">Gelegentlich: Pruritus, Hautausschlag, Angioödem </t>
    </r>
  </si>
  <si>
    <t>Kombination mit ACE-Hemmern (Risiko Angioödem ↑↑↑), Hyperkaliämie, Anamnestisch bekanntes Angioödem bei ACE-Hemmer oder Sartan-Einnahme, Aliskiren-Einnahme</t>
  </si>
  <si>
    <r>
      <rPr>
        <sz val="11"/>
        <color rgb="FF000000"/>
        <rFont val="Calibri"/>
        <family val="2"/>
        <charset val="1"/>
      </rPr>
      <t xml:space="preserve">SS/SZ: kontraindiziert (Valsartan: fetotoxisch in 2.+3. Schwangerschaftstrimenon Nierenfunktionsminderung, Oligohydramnion)
</t>
    </r>
    <r>
      <rPr>
        <sz val="11"/>
        <color rgb="FF01FD55"/>
        <rFont val="Calibri"/>
        <family val="2"/>
        <charset val="1"/>
      </rPr>
      <t xml:space="preserve">
Regelmäßige Serumkalium-Kontrollen notwendig
Cave: pro-BNP; BNP sind unter Therapie als Marker zur Verlaufbeobachtung der HI ungeeignet!
Cave: Sacubitril nur als Kombinationspräparat mit Valsartan verfügbar. Vorbehandlung mit Sartanen oder ACE-Hemmern muss vor Therapiebeginn abgesetzt werden! </t>
    </r>
  </si>
  <si>
    <t>Herzinsuffizienz.jpg</t>
  </si>
  <si>
    <t xml:space="preserve">Herzinsuffizienz: Mutschler Arzneimittelwirkungen, 11. Auflage, S.437, Abb. 34.1
</t>
  </si>
  <si>
    <t>Spironolacton</t>
  </si>
  <si>
    <t>Aldosteronantagonisten Mineralocorticoidrezeptor-Antagonisten RAAS Q9</t>
  </si>
  <si>
    <t>WM: kompetitive Bindung/Hemmung an Aldosteronrezeptoren in der Niere (Mineralocorticoidrezeptor-Antagonisten; Aldosteron-antagonisten)
W: Hemmung der Na+-Resorption und K+-Sekretion, Diurese ↑</t>
  </si>
  <si>
    <t>Hyperaldosteronismus, therapierefraktäre kardiale, renale und hepatogene Ödeme (Diurektikum der ersten Wahl bei Leberzirrhose und Aszites)</t>
  </si>
  <si>
    <r>
      <rPr>
        <sz val="11"/>
        <color rgb="FF000000"/>
        <rFont val="Calibri"/>
        <family val="2"/>
        <charset val="1"/>
      </rPr>
      <t xml:space="preserve">Sehr häufig bis häufig: Männer: Libido ↓, Erektionsstörungen, Impotenz, Vergrößerung der Brustdrüsen (Gynäkomastie); Frauen: Brusterkrankungen, Empfindlichkeit der Brust, Vertiefung der Stimmlage (oft irreversibel, insbesondere bei Berufen mit großer Bedeutung der Stimme wie Sänger, Lehrer o.ä. therapeutischen Nutzen diesbezüglich abwägen); Hyponatriämie, Hyperkaliämie, </t>
    </r>
    <r>
      <rPr>
        <sz val="11"/>
        <color rgb="FF01FD55"/>
        <rFont val="Calibri"/>
        <family val="2"/>
        <charset val="1"/>
      </rPr>
      <t xml:space="preserve">KS, Letharagie, Parästhesien, GI, Unwohlsein 
</t>
    </r>
    <r>
      <rPr>
        <sz val="11"/>
        <color rgb="FF000000"/>
        <rFont val="Calibri"/>
        <family val="2"/>
        <charset val="1"/>
      </rPr>
      <t xml:space="preserve">
Gelegentlich: Frauen: Libido ↓, Amenorrhö, Blutungen nach der Menopause, Hirsutismus; Azidose, Hautausschläge, Serumkreatinin ↑ 
</t>
    </r>
  </si>
  <si>
    <t>Hyperkaliämie, schwere Niereninsuffizienz (ab GFR &lt; 30 ml/min), Hypovolämie/Hyponatriämie</t>
  </si>
  <si>
    <t>SS/SZ: kontraindiziert
Cave bei Kombination mit anderen Kalium-sparenden Substanzen!
 wirken nur in Aldosteronanwesenheit!</t>
  </si>
  <si>
    <t>Timolol</t>
  </si>
  <si>
    <t>Adrenerges+System Beta-Blocker Glaukom βx-Adrenorezeptor-Antagonisten</t>
  </si>
  <si>
    <t xml:space="preserve">WM: "Nicht-kardioselektive" Blockade der βx-Adrenorezeptoren; nur als Augentropfen verfügbar
W:
Cave: (praktische) keine systemische Wirkung! 
- β2: Kammerwasserproduktion ↓ (Hemmung der Insulinsekretion, Hemmung der Glykogenolyse, Konstriktion der glatten Muskelzellen) </t>
  </si>
  <si>
    <t>Offenwinkelglaukom</t>
  </si>
  <si>
    <t>Cave: (praktisch) keine systemische Wirkung!  
Sehr häufig bis häufig: Augenstechen, -brennen, -jucken, Fremdkörpergefühl, Konjunktivitis</t>
  </si>
  <si>
    <r>
      <rPr>
        <sz val="11"/>
        <color rgb="FF000000"/>
        <rFont val="Calibri"/>
        <family val="2"/>
        <charset val="1"/>
      </rPr>
      <t xml:space="preserve">Asthma bronchiale, Bradykardie und Hypotension, dekompensierte Herzinsuffizienz und frischer Myokardinfarkt, kardialer Schock, AV-Block II. und III. Grades </t>
    </r>
    <r>
      <rPr>
        <sz val="11"/>
        <color rgb="FF01FD55"/>
        <rFont val="Calibri"/>
        <family val="2"/>
        <charset val="1"/>
      </rPr>
      <t>und Sick-Sinus-Syndrome, schwere COPD</t>
    </r>
  </si>
  <si>
    <t>SS/SZ: bei strengster Indikationsstellung zulässig</t>
  </si>
  <si>
    <t>Verapamil</t>
  </si>
  <si>
    <t>Calciumkanalblocker Hypertonie KHK Q9</t>
  </si>
  <si>
    <t xml:space="preserve">W: hemmt den Calcium-Einstrom in die Herzmuskelzellen und glatten Muskelzellen, --&gt; blutdrucksenkend durch Relaxation der glatten Muskelzellen, Verlängerung der Überleitungszeit im AV-Knoten, im Bereich des Arbeitsmyokards kann es zu einem neg. inotropen Effekt kommen (Wirkung im Vergleich zu Dihydropyridinen v.a. am Myokard)
WM/Klasse: Calciumkanalblocker vom Non-Dihydropyridintyp; weitere Vertreter: Diltiazem (Non-Dihydorpyridintyp; oral)  </t>
  </si>
  <si>
    <t>Hypertonie, symptomatische KHK (in-/stabile AP, AP nach Myokardinfarkt, wenn keine Herzinsuffizienz vorliegt, vasospastische (Prinzmetal-)Angina, Arrhythmien (paroxysmale supraventrikuläre Tachykardie, VHF/Vorhofflattern</t>
  </si>
  <si>
    <r>
      <rPr>
        <sz val="11"/>
        <color rgb="FF000000"/>
        <rFont val="Calibri"/>
        <family val="2"/>
        <charset val="1"/>
      </rPr>
      <t xml:space="preserve">sehr häufig und oft limitierend: Ödeme
häufig: Bradykardie, Verschlimmerung oder Entwicklung einer Herzinsuffizienz, </t>
    </r>
    <r>
      <rPr>
        <sz val="11"/>
        <color rgb="FF01FD55"/>
        <rFont val="Calibri"/>
        <family val="2"/>
        <charset val="1"/>
      </rPr>
      <t>übermäßiger Blutdruckabfall, Nervosität, Schläfrigkeit, Schwindel, Kopfschmerzen (insb. zu Beginn), Neuropathie, Sehstörungen, Palpitationen, Tachykardie, Flush, Dyspnoe, Bauchschmerzen, Übelkeit, Obstipation, Dyspepsie, Knöchelschwellung, Muskelkrämpfe, Müdigkeit, Schwäche</t>
    </r>
  </si>
  <si>
    <t xml:space="preserve">schwere Hypotonie oder Schock, Herzinsuffizienz mit LVEF &lt;35 %, ausgeprägte Reizleitungsstörungen,(AV-Block Grad ll und lll) oder VHF/-flattern bei glz. Vorliegen akzessorischer Leitungsbahnen, Sinusknotensyndrom, glz. Gabe von Ivabradin oder Betablockern </t>
  </si>
  <si>
    <t>Substrat und mittelstarker Inhibitor von CYP3A4</t>
  </si>
  <si>
    <t>antiarrhythmic drugs.jpg</t>
  </si>
  <si>
    <t xml:space="preserve">doi.org/10.1007/978-3-540-38918-7_164 </t>
  </si>
  <si>
    <t xml:space="preserve">α-Methyldopa </t>
  </si>
  <si>
    <t>Adrenerges+System AHT α2-Adrenorezeptor-Agonisten Q9</t>
  </si>
  <si>
    <t>WM: Stimulierung der α2-Adrenorezeptoren (α2-Adrenorezeptor-Agonist)
W: Senkung des HZV, des peripheren Gefäßwiderstands und der Kammerwasserproduktion</t>
  </si>
  <si>
    <t>Kombinationstherapie bei AHT, hypertensive(r) Krise/Notfall, AHT-Behandlung in der SS (Mittel erster Wahl)</t>
  </si>
  <si>
    <t>Sedation, orthostatische Dysregulation, ausgeprägte Na+- und Wasserretention, leichter Parkinsonismus, depressive Verstimmung, Leberfunktionsstörungen</t>
  </si>
  <si>
    <t>Phäochromozytom, Depressionen, akute Lebererkrankungen</t>
  </si>
  <si>
    <t>Wirkstoffname</t>
  </si>
  <si>
    <t>Trimethoprim</t>
  </si>
  <si>
    <t>Infektionserkrankungen</t>
  </si>
  <si>
    <t>Antibakterielle Wirkung Dihydrofolatreduktase-Inhibitor Antibiotika Folsäuresynthesehemmung orale Therapie von Infektionen Q9</t>
  </si>
  <si>
    <t>Antibakterielle Wirkung</t>
  </si>
  <si>
    <t>Dihydrofolatreduktase-Inhibitor</t>
  </si>
  <si>
    <t>Wirkmechanismus/Wirkung, Indikationen, Kontraindikationen, UAW</t>
  </si>
  <si>
    <t>Dihydrofolatreduktase - Inhibitor</t>
  </si>
  <si>
    <r>
      <rPr>
        <sz val="11"/>
        <color rgb="FF000000"/>
        <rFont val="Calibri"/>
        <family val="2"/>
        <charset val="1"/>
      </rPr>
      <t>bakteriostatisch durch Hemmung des Folsäure-Stoffwechsels,</t>
    </r>
    <r>
      <rPr>
        <sz val="11"/>
        <color rgb="FF37761D"/>
        <rFont val="Calibri"/>
        <family val="2"/>
        <charset val="1"/>
      </rPr>
      <t xml:space="preserve"> Affinität zur bakteriellen Dihydrofolatreduktase &gt;&gt;&gt; als zum menschlichen Enzym</t>
    </r>
    <r>
      <rPr>
        <sz val="11"/>
        <color rgb="FF000000"/>
        <rFont val="Calibri"/>
        <family val="2"/>
        <charset val="1"/>
      </rPr>
      <t xml:space="preserve"> </t>
    </r>
  </si>
  <si>
    <t>Q9VL-Skript</t>
  </si>
  <si>
    <t>orale Therapie von Infektionen insb. HWI (CAVE: Resistenzlage) und Prophylaxe von Pneumocystis-jirovecii-Pneumonie bei Immundefizienz, z.B. HIV</t>
  </si>
  <si>
    <t xml:space="preserve">Q9VL-Skript und Fachinfo </t>
  </si>
  <si>
    <t>bedingt durch den Folsäuremangel Anämie, Leukopenie, Thrombozytopenie, häufig gastrointestinale UAW</t>
  </si>
  <si>
    <t xml:space="preserve">Schwere Niereninsuffizienz, pathologische Blutbildveränderungen, Früh-/Neugeborene  </t>
  </si>
  <si>
    <t>Fachinfo</t>
  </si>
  <si>
    <t>Antibiotika_Angriffspunkte.jpg</t>
  </si>
  <si>
    <t>Mutschler Arzneimittelwirkungen, 11. Auflage, S. 987, Abb. 82.5</t>
  </si>
  <si>
    <t>Trimethoprim + Sulfamethoxazol</t>
  </si>
  <si>
    <t>Antibakterielle Wirkung Dihydrofolatreduktase-Inhibitor Sulfonamide Antibiotika Folsäuresynthesehemmung orale Therapie von Infektionen Q9</t>
  </si>
  <si>
    <t>Dihydrofolatreduktase-Inhibitor + Sulfonamide</t>
  </si>
  <si>
    <t>Dihydrofolatreduktase - Inhibitor + Sulfonamide</t>
  </si>
  <si>
    <r>
      <rPr>
        <sz val="11"/>
        <color rgb="FF000000"/>
        <rFont val="Calibri"/>
        <family val="2"/>
        <charset val="1"/>
      </rPr>
      <t>bakteriostatisch und bakterizid durch synergistische Hemmung des Folsäure-Stoffwechsels (Dihydrofolatreduktase gehemmt durch Trimethoprim + Dihydropteroatsynthase gehemmt durch Sulfamethoxazol),</t>
    </r>
    <r>
      <rPr>
        <sz val="11"/>
        <color rgb="FF37761D"/>
        <rFont val="Calibri"/>
        <family val="2"/>
        <charset val="1"/>
      </rPr>
      <t xml:space="preserve"> Affinität zur bakteriellen Dihydrofolatreduktase &gt;&gt;&gt; als zum menschlichen Enzym</t>
    </r>
    <r>
      <rPr>
        <sz val="11"/>
        <color rgb="FF000000"/>
        <rFont val="Calibri"/>
        <family val="2"/>
        <charset val="1"/>
      </rPr>
      <t xml:space="preserve"> </t>
    </r>
  </si>
  <si>
    <t>allergische Reaktionen (hauptsächlich durch Sulfonamidanteil) und bedingt durch den Folsäuremangel Anämie, Leukopenie, Thrombozytopenie, häufig gastrointestinale UAW</t>
  </si>
  <si>
    <t>Leber-/ Niereninsuffizienz, pathologische Blutbildveränderungen,  Früh-/Neugeborene, allergische oder dermatologische Reaktionen (z.B. Stevens-Johnson-Syndrom)</t>
  </si>
  <si>
    <t>In der Kombination von Trimethoprim mit Sulfamethoxazol (Cotrimoxazol) im Verhältnis 1:5 wirken die beiden bakteriostatischen Inhaltsstoffe synergistisch, was insgesamt zu einer bakteriziden Wirkung führt</t>
  </si>
  <si>
    <t>Fosfomycin</t>
  </si>
  <si>
    <t>Antibiotika Antibakterielle Wirkung Epoxide Einmalgabe bei unkomplizierter Zystitis bei Frauen Q9</t>
  </si>
  <si>
    <t>Epoxide</t>
  </si>
  <si>
    <t>bakterizide Wirkung auf proliferierende Erreger durch Hemmung der bakteriellen Zellwandsynthese</t>
  </si>
  <si>
    <t xml:space="preserve">Einmalgabe bei unkomplizierter Zystitis bei Frauen </t>
  </si>
  <si>
    <t>meist GI-Trakt betroffen, am häufigsten in Form einer Diarrhoe</t>
  </si>
  <si>
    <t xml:space="preserve">Überempfindlichkeit </t>
  </si>
  <si>
    <t>Mureinsynthese.jpg</t>
  </si>
  <si>
    <t>Mutschler Arzneimittelwirkungen, 11. Auflage, S. 990, Abb. 82.7</t>
  </si>
  <si>
    <t>Ciprofloxacin</t>
  </si>
  <si>
    <t>Antibiotika Antibakterielle Wirkung Fluorchinolone systemische Gabe bei schweren Infektionen Q9</t>
  </si>
  <si>
    <t xml:space="preserve">Fluorchinolone </t>
  </si>
  <si>
    <r>
      <rPr>
        <sz val="11"/>
        <color rgb="FF000000"/>
        <rFont val="Calibri"/>
        <family val="2"/>
        <charset val="1"/>
      </rPr>
      <t xml:space="preserve">bakterizid durch Hemmung der bakteriellen DNA-Topoisomerase ll und lV </t>
    </r>
    <r>
      <rPr>
        <sz val="11"/>
        <color rgb="FF37761D"/>
        <rFont val="Calibri"/>
        <family val="2"/>
        <charset val="1"/>
      </rPr>
      <t xml:space="preserve"> (wirkt umso besser je schneller die Bakterien sich vermehren)</t>
    </r>
  </si>
  <si>
    <t xml:space="preserve">Gruppe 2, breiteres Spektrum v.a. im gramnegativen Bereich, systemische Gabe bei schweren Infektionen (Magen-Darm-, Haut/Weichteilgewebeinfektionen) mgl.; Infektionen der Atemwege, HWI und Pyelonephritis, Milzbrand  </t>
  </si>
  <si>
    <t>häufig gastrointestinale UAW: Übelkeit, Diarrhö; Transaminasenanstieg, Störung des zentralen und peripheren Nervensystems (z.B. Kopfschmerzen, Depressionen, Krampfanfälle) selten Photodermatosen, Achillessehnenruptur, Tendinitis, Leber- und Hautschäden, Aortendissektion/-aneurysma</t>
  </si>
  <si>
    <r>
      <rPr>
        <sz val="11"/>
        <color rgb="FF000000"/>
        <rFont val="Calibri"/>
        <family val="2"/>
        <charset val="1"/>
      </rPr>
      <t xml:space="preserve">Schwangerschaft, Kinder/Jugendliche, zerebrale Anfallsleiden, </t>
    </r>
    <r>
      <rPr>
        <sz val="11"/>
        <color rgb="FF70AD47"/>
        <rFont val="Calibri"/>
        <charset val="1"/>
      </rPr>
      <t xml:space="preserve">keine gleichzeitige Gabe mit dem Muskelrelaxans Tizanidin </t>
    </r>
  </si>
  <si>
    <r>
      <rPr>
        <sz val="11"/>
        <color rgb="FF000000"/>
        <rFont val="Calibri"/>
        <family val="2"/>
        <charset val="1"/>
      </rPr>
      <t xml:space="preserve">Rote-Hand-Brief 2019: Anwendungsbeschränkung von Fluorchinolonen aufgrund des Risikos schwerwiegender und potentiell irreversibler Nebenwirkungen v.a. des Bewegungsapparats, </t>
    </r>
    <r>
      <rPr>
        <sz val="11"/>
        <color rgb="FF37761D"/>
        <rFont val="Calibri"/>
        <family val="2"/>
        <charset val="1"/>
      </rPr>
      <t>Vorsicht bei gleichzeitiger Anwendung mit Substanzen, die das QT-Intervall beeinflussen</t>
    </r>
  </si>
  <si>
    <t>Levofloxacin</t>
  </si>
  <si>
    <t>Antibiotika Antibakterielle Wirkung Fluorchinolone ambulant erworbene Pneumonie Q9</t>
  </si>
  <si>
    <t xml:space="preserve">Gruppe 3 erweitertes Spektrum im grampositiven Bereich mit Wirkung auf atypische Erreger (nicht Pseudomonas) 1. Wahl bei ambulant erworbener Pneumonie, Exazerbation einer COPD, komplizierte Infektionen (wie HWI, Haut- und Weichteilgewebeinfektionen) </t>
  </si>
  <si>
    <r>
      <rPr>
        <sz val="11"/>
        <color rgb="FF000000"/>
        <rFont val="Calibri"/>
        <family val="2"/>
        <charset val="1"/>
      </rPr>
      <t>Schwangerschaft, Kinder/Jugendliche, zerebrale Anfallsleiden</t>
    </r>
    <r>
      <rPr>
        <sz val="11"/>
        <color rgb="FF70AD47"/>
        <rFont val="Calibri"/>
        <charset val="1"/>
      </rPr>
      <t xml:space="preserve"> </t>
    </r>
  </si>
  <si>
    <t>Moxifloxacin</t>
  </si>
  <si>
    <t>Antibiotika Antibakterielle Wirkung Fluorchinolone schwere nosokomial erworbene Atemwegsinfektionen schwere systemische Infektionen Q9</t>
  </si>
  <si>
    <t>Gruppe 4 zusätzliche Wirkung gegen Anaerobier (nicht Pseudomonas-wirksam); schwere v.a. nosokomial erworbene Atemwegsinfektionen und schwere systemische Infektionen (Haut- und Weichteilgewebeinfektion)</t>
  </si>
  <si>
    <t>häufig gastrointestinale UAW: Übelkeit, Diarrhö; Transaminasenanstieg, Störung des zentralen und peripheren Nervensystems (z.B. Kopfschmerzen, Depressionen, Krampfanfälle) selten Photodermatosen, Achillessehnenruptur, Tendinitis, Leber- und Hautschäden, Aortendissektion/-aneurysma; QT- Verlängerung insb. bei Moxifloxacin beobachtet</t>
  </si>
  <si>
    <r>
      <rPr>
        <sz val="11"/>
        <color rgb="FF000000"/>
        <rFont val="Calibri"/>
        <family val="2"/>
        <charset val="1"/>
      </rPr>
      <t xml:space="preserve">Schwangerschaft, Kinder/Jugendliche, zerebrale Anfallsleiden, Umstände die QT-Verlängerung begünstigen (Begleitmedikation, Elektrolytveränderung, relevante Bradykardie, HRST, Herzinsuffizienz) oder bestehende QT-Verlängerung </t>
    </r>
    <r>
      <rPr>
        <sz val="11"/>
        <color rgb="FF70AD47"/>
        <rFont val="Calibri"/>
        <charset val="1"/>
      </rPr>
      <t xml:space="preserve"> </t>
    </r>
  </si>
  <si>
    <t>Tigecyclin</t>
  </si>
  <si>
    <t>Antibiotika Antibakterielle Wirkung Glycylcycline Nosokomialinfektionen komplizierte Hautinfektionen und Weichteilgewebeinfektionen intraabdominelle Infektionen Q9</t>
  </si>
  <si>
    <t>Glycylcycline</t>
  </si>
  <si>
    <t>Wirkmechanismus/Wirkung, Indikationen, Kontraindikationen, UAW, Sonstiges: Keimspektrum</t>
  </si>
  <si>
    <t>Verwandt mit den Tetracyclinen hemmt es die Proteinsynthese durch die Blockade der 30S-Ribosomenuntereinheit während der Translation 
W: 
Bakteriostatisch</t>
  </si>
  <si>
    <t xml:space="preserve">Reserveantibiotikum für Nosokomialinfektionen; komplizierte Haut- und Weichteilgewebeinfektionen, intraabdominelle Infektionen </t>
  </si>
  <si>
    <r>
      <rPr>
        <sz val="11"/>
        <color rgb="FF000000"/>
        <rFont val="Calibri"/>
        <family val="2"/>
        <charset val="1"/>
      </rPr>
      <t xml:space="preserve">häufig gastrointestinale UAW: </t>
    </r>
    <r>
      <rPr>
        <sz val="11"/>
        <rFont val="Calibri"/>
        <charset val="1"/>
      </rPr>
      <t>Übelkeit, Erbrechen, Diarrhö; schwere Nebenwirkungen sind Superinfektionen mit Pneumonie oder Sepsis; häufig sind auch Veränderungen der Blutwerte (Leber, Gerinnung, BZ, Eiweiß)</t>
    </r>
  </si>
  <si>
    <t>Überempfindlichkeit</t>
  </si>
  <si>
    <r>
      <rPr>
        <sz val="11"/>
        <color rgb="FF000000"/>
        <rFont val="Calibri"/>
        <family val="2"/>
        <charset val="1"/>
      </rPr>
      <t>Keimspektrum: wirksam auch gegen multiresistente Keime u.a. ESBL-bildner, MRSA, VRE aber nicht gegen Pseudomonaden</t>
    </r>
    <r>
      <rPr>
        <sz val="11"/>
        <color rgb="FFA9D18E"/>
        <rFont val="Calibri"/>
        <charset val="1"/>
      </rPr>
      <t xml:space="preserve">; </t>
    </r>
    <r>
      <rPr>
        <sz val="11"/>
        <color rgb="FF548235"/>
        <rFont val="Calibri"/>
        <charset val="1"/>
      </rPr>
      <t>Reserveantibiotikum seit Rote Hand Brief 2011:</t>
    </r>
    <r>
      <rPr>
        <sz val="11"/>
        <color rgb="FFA9D18E"/>
        <rFont val="Calibri"/>
        <charset val="1"/>
      </rPr>
      <t xml:space="preserve"> </t>
    </r>
    <r>
      <rPr>
        <sz val="11"/>
        <color rgb="FF548235"/>
        <rFont val="Calibri"/>
        <charset val="1"/>
      </rPr>
      <t>erhöhte Mortalität im Vgl. zu anderen Antibiotika</t>
    </r>
    <r>
      <rPr>
        <sz val="11"/>
        <color rgb="FF000000"/>
        <rFont val="Calibri"/>
        <family val="2"/>
        <charset val="1"/>
      </rPr>
      <t xml:space="preserve"> </t>
    </r>
  </si>
  <si>
    <t>Teicoplanin</t>
  </si>
  <si>
    <t>Antibiotika Antibakterielle Wirkung Glykopeptide schwere Infektionen mit grampositiven Keimen Q9</t>
  </si>
  <si>
    <t>Glykopeptide</t>
  </si>
  <si>
    <t xml:space="preserve">Wirkmechanismus/Wirkung, Indikationen, Kontraindikationen, UAW, Sonstiges </t>
  </si>
  <si>
    <t xml:space="preserve">bakterizide Wirkung durch Hemmung der Zellwandsynthese </t>
  </si>
  <si>
    <t>parenterale Applikation bei schweren Infektionen mit grampositiven Keimen (Pneumonien, HWI, Endokarditis, Peritonitis, Haut-/Gewebe- sowie Knochen-/Gelenkinfektion) orale Anwendung nur bei Diarrhö/ Kolitis, die durch C. difficile verursacht ist</t>
  </si>
  <si>
    <t xml:space="preserve">häufig Haut- und systemische Reaktionen (Red-man-Syndrom/Schmerzen/Fieber), sowie oto- und nephrotoxisch (CAVE Wechselwirkungen mit anderen Meidkamenten) </t>
  </si>
  <si>
    <t xml:space="preserve">Keimspektrum: aufgrund des engen Wirkspektrums häufig als Kombinationspartner mit anderen Antibiotika eingesetzt </t>
  </si>
  <si>
    <t>Vancomycin</t>
  </si>
  <si>
    <t>parenterale Applikation bei schweren Infektionen mit grampositiven Keimen (Pneumonien, HWI, Endokarditis-(prophylaxe), Haut-/Gewebe- sowie Knochen-/Gelenkinfektion) orale Anwendung nur bei Diarrhö/ Kolitis die durch C. difficile verursacht ist</t>
  </si>
  <si>
    <t>Q9VL-Skript, Fachinfo</t>
  </si>
  <si>
    <t>Keine intramuskuläre Applikation, da Gefahr der Nekrosenbildung am Applikationsort besteht</t>
  </si>
  <si>
    <t>Flucloxacillin</t>
  </si>
  <si>
    <t>Antibiotika Antibakterielle Wirkung Isoxazolyl Penicilline penicillinresistente Beta-Lactamase-bildende Staphylokokken Q9</t>
  </si>
  <si>
    <t xml:space="preserve">Isoxazolyl-Penicilline </t>
  </si>
  <si>
    <t>durch Hemmung eines/mehrerer Enzyme der Peptidoglykansynthese wird die bakterielle Zellwandsynthese gestört, was zur Lyse der Zelle führt
W:
Bakterizid</t>
  </si>
  <si>
    <t xml:space="preserve">durch pencillinresistente Beta-Lactamase-bildende Staphylokokken (außer MRSA) verursachte Infektionen (Haut-, Weichteil-, Atemwegsinfektionen sowie Endokarditis) </t>
  </si>
  <si>
    <t xml:space="preserve">häufig geringfügige gastrointestinale Störungen </t>
  </si>
  <si>
    <t>Penicillinallergie, Anwendung am Auge/subkonjunktival</t>
  </si>
  <si>
    <t>Schmalspektrumantibiotikum, speziell entwickelt gegen beta-Lactamasen-bildende Staphylokokken, „Staphylokokken-Penicillin“</t>
  </si>
  <si>
    <t>Mureinsynthese.jpg
Betalactamasen.jpg
BetalactamasenII.jpg</t>
  </si>
  <si>
    <t>Mutschler Arzneimittelwirkungen, 11. Auflage, S. 990, Abb. 82.7
Mutschler Arzneimittelwirkungen, 11. Auflage, S. 992, Tab. 82.5
Mutschler Arzneimittelwirkungen, 11. Auflage, S. 993, Abb. 82.9</t>
  </si>
  <si>
    <t>Clindamycin</t>
  </si>
  <si>
    <t>Antibiotika Antibakterielle Wirkung Lincosamide Staphylokokken Anaerobierinfektionen Mischinfektionen Q9</t>
  </si>
  <si>
    <t>Lincosamide</t>
  </si>
  <si>
    <t xml:space="preserve">bakteriostatisch durch Hemmung der bakteriellen Proteinsynthese </t>
  </si>
  <si>
    <t>Infektionen mit Staphylokokken (außer MRSA), Anaerobier- und Mischinfektionen (als Kombinationspartner), knochen- und gewebegängig, daher Einsatz bei Infektionen der Knochen und Gelenke sowie im Zahn-/Kieferbereich</t>
  </si>
  <si>
    <t>häufig gastrointestinale Störungen, selten Antibiotika-induzierte Enterokolitis</t>
  </si>
  <si>
    <t>Daptomycin</t>
  </si>
  <si>
    <t>Antibiotika Antibakterielle Wirkung Lipopeptide komplizierte Hautinfektionen Weichteilinfektionen Q9</t>
  </si>
  <si>
    <t>Lipopeptide</t>
  </si>
  <si>
    <t xml:space="preserve">Wirkmechanismus/Wirkung, Indikationen, Kontraindikationen, UAW, Wechselwirkungen </t>
  </si>
  <si>
    <t xml:space="preserve">bakterizid durch Hemmung der bakteriellen DNA-, RNA- und Proteinsynthese grampositiver Bakterien </t>
  </si>
  <si>
    <t>komplizierte Haut- und Weichteilinfektionen, insbesondere mit Problemkeimen wie MRSA und VRSA, durch S. aureus verursachte Endokarditis</t>
  </si>
  <si>
    <r>
      <rPr>
        <sz val="11"/>
        <color rgb="FF000000"/>
        <rFont val="Calibri"/>
        <family val="2"/>
        <charset val="1"/>
      </rPr>
      <t>gastrointestinale Störungen, Reaktionen an der Injektionsstelle, Myopathie,</t>
    </r>
    <r>
      <rPr>
        <sz val="11"/>
        <color rgb="FF548235"/>
        <rFont val="Calibri"/>
        <charset val="1"/>
      </rPr>
      <t xml:space="preserve"> eosinophile Pneumonie (Warnhinweis 2011)</t>
    </r>
  </si>
  <si>
    <t xml:space="preserve">Überempfindlichkeit, schwere Leberfunktionsstörungen </t>
  </si>
  <si>
    <t>DocCheck</t>
  </si>
  <si>
    <r>
      <rPr>
        <sz val="11"/>
        <color rgb="FF000000"/>
        <rFont val="Calibri"/>
        <family val="2"/>
        <charset val="1"/>
      </rPr>
      <t xml:space="preserve">intravenöse Applikation, Wechselwirkungen: Statine (Myopathierisiko erhöht, </t>
    </r>
    <r>
      <rPr>
        <sz val="11"/>
        <color rgb="FF37761D"/>
        <rFont val="Calibri"/>
        <family val="2"/>
        <charset val="1"/>
      </rPr>
      <t>bei Begleittherapie sollte regelmäßig der Kreatinphosphokinase-Spiegel kontrolliert werden) und NSAR (Plasmaspiegel erhöht)</t>
    </r>
  </si>
  <si>
    <t>Azithromycin</t>
  </si>
  <si>
    <t>Antibiotika Antibakterielle Wirkung bronchopulmonale Infektionen Makrolide Q9</t>
  </si>
  <si>
    <t>Makrolide</t>
  </si>
  <si>
    <t xml:space="preserve">bakteriostatisch bis bakterizid durch Hemmung der bakteriellen Proteinsynthese </t>
  </si>
  <si>
    <t>bronchopulmonale Infektionen</t>
  </si>
  <si>
    <t>häufig gastrointestinale Störungen, selten QT-Zeit-Verlängerung (CAVE Wechselwirkungen)</t>
  </si>
  <si>
    <t>Wechselwirkungen: mit QT-Zeit- verlängernden Medikamenten, im Unterschied zu Clarithromycin und anderen Makroliden keine klinisch relevante Interaktion mit CYP450-Enzymen</t>
  </si>
  <si>
    <t>Clarithromycin</t>
  </si>
  <si>
    <t>Antibiotika Antibakterielle Wirkung Makrolide bronchopulmonale Infektionen Eradikation von H. pylori Q9</t>
  </si>
  <si>
    <t xml:space="preserve">Wirkmechanismus/Wirkung, Indikationen, Kontraindikationen, UAW, Wechselwirkungen, Stillzeit </t>
  </si>
  <si>
    <t>bronchopulmonale Infektionen, Eradikation von H. pylori</t>
  </si>
  <si>
    <r>
      <rPr>
        <sz val="11"/>
        <color rgb="FF000000"/>
        <rFont val="Calibri"/>
        <family val="2"/>
        <charset val="1"/>
      </rPr>
      <t>Überempfindlichkeit, Komedikation mit CYP3A4-Inhibitoren, z.B. Simvastatin, QT-verlängernde Medikamente</t>
    </r>
    <r>
      <rPr>
        <sz val="11"/>
        <color rgb="FF548235"/>
        <rFont val="Calibri"/>
        <charset val="1"/>
      </rPr>
      <t xml:space="preserve"> oder Patienten mit Hypokaliämie wegen der Gefahr von HRST, sowie bei schwerer Leber-/Nierenfunktionsstörung    </t>
    </r>
  </si>
  <si>
    <t xml:space="preserve">Wechselwirkungen: mit QT-Zeit verlängernden Medikamenten und Substraten/Inhibitoren von CYP3A4; Stillzeit: muttermilchgängig, nicht anwenden </t>
  </si>
  <si>
    <t>Pyrazinamid</t>
  </si>
  <si>
    <t xml:space="preserve">Antibiotika Tuberkulostatika Antibakterielle Wirkung Nikotinamid-Derivate Tuberkulose Q9 </t>
  </si>
  <si>
    <t>Nikotinamid-Derivate</t>
  </si>
  <si>
    <r>
      <rPr>
        <sz val="11"/>
        <color rgb="FF000000"/>
        <rFont val="Calibri"/>
        <family val="2"/>
        <charset val="1"/>
      </rPr>
      <t xml:space="preserve">wirkt bakterizid auf das langsam wachsende Mycobacterium tuberculosis, genauer Mechanismus unbekannt </t>
    </r>
    <r>
      <rPr>
        <sz val="11"/>
        <color rgb="FF548235"/>
        <rFont val="Calibri"/>
        <charset val="1"/>
      </rPr>
      <t xml:space="preserve">besitzt keine Wirkung gegen die anderen Mycobakterienstämme wie Mycobacterium bovis oder andere atypische Mycobakterien </t>
    </r>
  </si>
  <si>
    <t xml:space="preserve">Therapie der Tuberkulose in Kombination mit anderen Wirkstoffen </t>
  </si>
  <si>
    <t>Hyperurikämie, Anstieg der Transaminasen und Leberfunktionsstörungen, Erkrankungen des Gastrointestinaltraktes, Photosensibilisierung</t>
  </si>
  <si>
    <t>schwere/akute Leberfunktionsstörungen und bis 6 Monate nach einer Hepatitis, Porphyrie</t>
  </si>
  <si>
    <t xml:space="preserve">Wechselwirkungen: Gesteigerte Hepatotoxität in Kombination mit Isoniazid -&gt; Überwachung der Leberfunktion </t>
  </si>
  <si>
    <t>Antituberkulotika.jpg</t>
  </si>
  <si>
    <t>Mutschler Arzneimittelwirkungen, 11. Auflage, S. 1042, Abb. 83.1</t>
  </si>
  <si>
    <t>Isoniazid</t>
  </si>
  <si>
    <t xml:space="preserve">Antibiotika Tuberkulostatika Antibakterielle Wirkung Nikotinsäure-Derivate Tuberkulose Q9 </t>
  </si>
  <si>
    <t>Nikotinsäure-Derivate</t>
  </si>
  <si>
    <t xml:space="preserve">Isoniazid wirkt auf extra- und intrazelluläre Erreger bakterizid durch multifaktorielle Störung der bakteriellen Homöostase, die insb. auf einer Störung der Mykolsäuresynthese beruht </t>
  </si>
  <si>
    <t>Therapie, Prophylaxe und Prävention von Tuberkulose</t>
  </si>
  <si>
    <t xml:space="preserve">am häufigsten ist eine meist asymptomatische Veränderung der Leberwerte, auch akute Hepatitis möglich, Polyneuropathie und gastrointestinale Störungen kommen häufig vor </t>
  </si>
  <si>
    <t>schwere Leberfunktionsstörungen (Verschlussikterus, akute Hepatitis, Leberzirrhose), Polyneuropathien, Störungen von Hämostase und Hämatopoese, medikamenteninduzierte Hepatitis durch Isoniazid</t>
  </si>
  <si>
    <t xml:space="preserve">Wechselwirkungen: Gesteigerte Hepatotoxität in Kombination mit Pyrazinamid -&gt; Überwachung der Leberfunktion </t>
  </si>
  <si>
    <t>Nitrofurantoin</t>
  </si>
  <si>
    <t>Antibiotika Antibakterielle Wirkung Nitrofuran-Derivate unkomplizierte Zystitis rezidivierende Zystitis Q9</t>
  </si>
  <si>
    <t>Nitrofuran-Derivate</t>
  </si>
  <si>
    <t xml:space="preserve">wird intrazellulär durch bakterielle Enzyme umgesetzt, die Metaboliten induzieren Strangbrüche und stören zelluläre Stoffwechselprozesse durch Elektronenentzug
W: bakteriostatisch bis bakterizid </t>
  </si>
  <si>
    <t xml:space="preserve">schwach bakteriostatisch auf gramnegative Keime und Mittel der Wahl bei unkomplizierter Zystitis, Rezidivprophylaxe bei rezidivierender Zystitis </t>
  </si>
  <si>
    <t xml:space="preserve">periphere Polyneuropathie, (pseudo-) allergische Reaktionen, Leberschäden, schwere Hautreaktionen, interstitielle Pneumonie (Ausbildung einer Lungenfibrose mgl.) </t>
  </si>
  <si>
    <t>eingeschränkte Nierenfunktion bereits bei GFR unter 60</t>
  </si>
  <si>
    <t xml:space="preserve">Einsatz: durch die Resistenzentwicklung gegen andere Antibiotika ist es von einem Reserveantibiotikum zum Mittel erster Wahl geworden </t>
  </si>
  <si>
    <t>Metronidazol</t>
  </si>
  <si>
    <t>Antibiotika Antibakterielle Wirkung Nitroimidazole Anaerobierinfektionen Mischinfektionen Q9</t>
  </si>
  <si>
    <t>Nitroimidazole</t>
  </si>
  <si>
    <t xml:space="preserve">Die unter anaeroben Bedingungen hergestellten Metaboliten induzieren Strangbrüche der DNA; es wirkt somit bakterizid </t>
  </si>
  <si>
    <t xml:space="preserve">parenteral bei Anaerobier-Infektionen, v.a.auch Mischinfektionen, oral bei Antibiotika-assoziierter Enterokolitis durch C. Difficile und Eradikation von H. pylori </t>
  </si>
  <si>
    <t xml:space="preserve">gastrointestinale Störungen, Schwindel, Krampfanfälle, Parästhesien, Leukopenie (sehr selten) </t>
  </si>
  <si>
    <r>
      <rPr>
        <sz val="11"/>
        <color rgb="FF000000"/>
        <rFont val="Calibri"/>
        <family val="2"/>
        <charset val="1"/>
      </rPr>
      <t xml:space="preserve">Überempfindlichkeit, </t>
    </r>
    <r>
      <rPr>
        <sz val="11"/>
        <color rgb="FF548235"/>
        <rFont val="Calibri"/>
        <charset val="1"/>
      </rPr>
      <t>Ausnahme bei vitaler Indikation, wenn andere Antibiotika wirkungslos sind</t>
    </r>
  </si>
  <si>
    <t>Nebenwirkungen: mutagene/kanzerogene Wirkungen beschrieben, daher Dauer der Therapie auf maximal 10 Tage beschränkt</t>
  </si>
  <si>
    <t>Penicillin V</t>
  </si>
  <si>
    <t>Antibiotika Antibakterielle Wirkung Penicilline Schmalspektrumpenicillin ambulante Therapie Streptokokken Erysipel Q9</t>
  </si>
  <si>
    <t xml:space="preserve">Oralpenicilline </t>
  </si>
  <si>
    <t>Hemmung der bakteriellen Zellwandsynthese durch Blockade der Penicillin-bindenden Proteine wie z.B. Transpeptidasen 
W:
Bakterizid</t>
  </si>
  <si>
    <t xml:space="preserve">Schmalspektrumpenicillin -&gt; Einsatz zur ambulanten Therapie z.B. bei Streptokokken- Angina oder Erysipel </t>
  </si>
  <si>
    <t xml:space="preserve">häufig gastrointestinale Störungen, allergische und Hautreaktionen, sehr selten Antibiotika-induzierte Enterokolitis (C. difficile) </t>
  </si>
  <si>
    <t xml:space="preserve">Penicillinallergie, Kreuzallergie kann bestehen </t>
  </si>
  <si>
    <t>Doxycyclin</t>
  </si>
  <si>
    <t>Antibiotika Antibakterielle Wirkung Tetracycline Atemwegsinfektionen Urogenitaltraktinfektionen Magen-Darm-Traktinfektionen Q9</t>
  </si>
  <si>
    <t>Tetracycline</t>
  </si>
  <si>
    <t xml:space="preserve">vorwiegend bakteriostatische Wirkung durch Blockade der bakteriellen Proteinsynthese </t>
  </si>
  <si>
    <t xml:space="preserve">orale Therapie von Infektionen der Atemwege/HNO-Bereich, des Urogenitaltraktes, des Magen-Darm-Traktes (i.v. nur wenn orale Gabe nicht mgl. Ist) </t>
  </si>
  <si>
    <t>sehr häufig: Photosensitivitätsreaktionen (mit Erythem, Hautödem), häufig anaphylaktische Reaktionen, Kopfschmerzen, gastrointestinale Beschwerden</t>
  </si>
  <si>
    <t xml:space="preserve">Überempfindlichkeit, schwere Leberfunktionsstörung, krankhafte Muskelschwäche, Schwangerschaft und Stillzeit </t>
  </si>
  <si>
    <t>Kontraindiziert in Schwangerschaft/Stillzeit sowie bei Kindern bis 8 Jahren wegen möglicher  Einlagerung von Doxycyclin in Zähne (Zahnverfärbungen, Zahn- und Knochenschäden)</t>
  </si>
  <si>
    <t>Terbinafin</t>
  </si>
  <si>
    <t>Antimykotika Antimykotische Wirkung Allylamine lokale Pilzinfektionen systemische Pilzinfektionen Q9</t>
  </si>
  <si>
    <t>Antimykotische Wirkung</t>
  </si>
  <si>
    <t>Allylamine</t>
  </si>
  <si>
    <t xml:space="preserve">wirkt fungizid durch Störung der Ergosterolsynthese </t>
  </si>
  <si>
    <t xml:space="preserve">lokale oder systemische Pilzinfektionen verursacht durch Dermatophyten, Hefen andere Pilze oder Mischinfektionen </t>
  </si>
  <si>
    <t>bei lokaler Anwendung schuppende Haut, Juckreiz; systemisch sehr häufig: allergische Hautreaktionen, Minderung des Appetits, Kopfschmerzen, häufig: Störungen des Sehvermögens, Geschmacksveränderungen</t>
  </si>
  <si>
    <t xml:space="preserve">bakteriell verursachte Infektionen, bei akuter oder chronischer Lebererkrankung,  </t>
  </si>
  <si>
    <t xml:space="preserve">Wirkspektrum: nach oraler Gabe keine Wirkung auf Hefepilze </t>
  </si>
  <si>
    <t>Caspofungin</t>
  </si>
  <si>
    <t>Antimykotika Antimykotische Wirkung Echinocandine invasive Candidose Kinder Jugendliche Q9</t>
  </si>
  <si>
    <t>Echinocandine</t>
  </si>
  <si>
    <t xml:space="preserve">Hemmung der Synthese von D-Glukan und damit der Zellwandsynthese der Pilze - fungizid und antimykotisch gegen Candida und Aspergillus </t>
  </si>
  <si>
    <t xml:space="preserve">invasive Candidose bei Kindern und Jugendlichen; invasive Aspergillose, wenn andere Antimykotika unwirksam sind, zur Prophylaxe bei Patienten mit Fieber und Verdacht auf Pilzinfektion in Neutropenie </t>
  </si>
  <si>
    <t>Häufig Veränderung von Blutwerten (Elektrolyte, Hb, Leberwerte), Haut- und systemische Reaktionen (Fieber, Schüttelfrost), Störungen des GI-Traktes</t>
  </si>
  <si>
    <t>potenziell teratogen und karzinogen</t>
  </si>
  <si>
    <t>Pilzzellwand.jpg</t>
  </si>
  <si>
    <t xml:space="preserve">Mutschler Arzneimittelwirkungen, 11. Auflage, S. 1090, Abb. 85.1
</t>
  </si>
  <si>
    <t>Amphotericin B</t>
  </si>
  <si>
    <t>Antimykotika Antimykotische Wirkung Polyene intestinale Hefemykosen Q9</t>
  </si>
  <si>
    <t>Polyene</t>
  </si>
  <si>
    <t>Durch Anlagerung an die Zellmembran verändert Amphotericin B die Zellpermeabilität und ist damit fungistatisch bis fungizid gegen Candida und Aspergillus</t>
  </si>
  <si>
    <t xml:space="preserve">Therapie und Prophylaxe intestinaler Hefemykosen v.a. in Situationen, die das Hefewachstum fördern z.B. unter Therapie mit Antibiotika oder Corticoiden </t>
  </si>
  <si>
    <t>häufig gastrointestinale Störungen, Hautreaktionen; Leber-/Nierenschädigung</t>
  </si>
  <si>
    <t xml:space="preserve">Überempfindlichkeit, systemische Therapie von Mykosen </t>
  </si>
  <si>
    <t>Fluconazol</t>
  </si>
  <si>
    <t>Antimykotika Antimykotische Wirkung Triazole Pilzinfektionen Q9</t>
  </si>
  <si>
    <t>Triazole</t>
  </si>
  <si>
    <t>Hemmung der Ergosterol-Synthese bei Pilzen 
W:
Fungistatisch bis fungizid</t>
  </si>
  <si>
    <t>Vorbeugung und Behandlung von Infektionen durch Pilze, wie Candidamykosen, Dermatophytosen und Kryptokokken- Infektionen wie Kryptokokkenmeningingitis</t>
  </si>
  <si>
    <t xml:space="preserve">Kopfschmerzen, Hautausschlag, abdominelle Schmerzen, Erbrechen, Diarrhö, Übelkeit, Anstieg der Leberparameter </t>
  </si>
  <si>
    <t>keine Komedikation mit QT- Zeit verlängernden CYP3A4-hemmenden Medikamenten; Vorsicht bei der Kombination mit Terfenadin</t>
  </si>
  <si>
    <t>Voriconazol</t>
  </si>
  <si>
    <t>Antimykotika Antimykotische Wirkung Triazole Breitspektrumantimykotikum Q9</t>
  </si>
  <si>
    <t>Hemmung der Ergosterol-Synthese bei Pilzen 
W:
Fungizid</t>
  </si>
  <si>
    <t xml:space="preserve">Breitspektrumantimykotikum zur Behandlung schwerer lebensbedrohlicher Infektionen (mit Aspergillus, Candida und weiteren Pilzen) oder bei Hochrisikopatienten nach Stammzelltransplantation </t>
  </si>
  <si>
    <t xml:space="preserve">sehr häufig Sehverschlechterung, periphere Ödeme, Kopfschmerzen, Atemnot, Störungen des GI-Traktes und der Leberfunktion (Hepatitis), Fieber, QT-Verlängerung </t>
  </si>
  <si>
    <t xml:space="preserve">keine Komedikation mit QT- Zeit verlängernden CYP3A4-hemmenden Medikamenten; Vorsicht bei der Kombination mit Terfenadin, mannigfaltige Wechselwirkungen mit anderen Medikamenten, aus denen sich Kontraindikationen ergeben </t>
  </si>
  <si>
    <t>Therapeutisches Drug-Monitoring</t>
  </si>
  <si>
    <t>Proguanil</t>
  </si>
  <si>
    <t>Antiparasitikum Malaria Antiparasitäre Wirkung Dihydrofolsäurereduktase-Inhibitoren Plasmodium falciparum</t>
  </si>
  <si>
    <t>Antiparasitäre Wirkung</t>
  </si>
  <si>
    <t xml:space="preserve">Dihydrofolsäurereduktase-Inhibitoren </t>
  </si>
  <si>
    <t>Proguanil ist ein Prodrug, das in der Leber zum wirksamen Cycloguanil metabolisiert wird; dieses hemmt die Dihydrofolatreduktase des Erregers Plasmodium falciparum
W: 
Hemmt Wachstum und Vermehrung des Erregers</t>
  </si>
  <si>
    <t>Therapie und Prophylaxe der Malaria tropica durch Plasmodium falciparum</t>
  </si>
  <si>
    <t>am häufigsten Kopf- und Abdominalschmerzen, Diarrhö, hämatologische Störungen bei schwerer Niereninsuffizienz möglich</t>
  </si>
  <si>
    <t xml:space="preserve">schwere Nierenfunktionsstörungen </t>
  </si>
  <si>
    <t>Malaria.jpg</t>
  </si>
  <si>
    <t xml:space="preserve">Mutschler Arzneimittelwirkungen, 11. Auflage, S. 1104, Abb. 86.1
</t>
  </si>
  <si>
    <t>Ivermectin</t>
  </si>
  <si>
    <t>Antiparasitikum Rosazea Antiparasitäre Wirkung GABA(A)-Rezeptor-Aktivator Antihelminthikum</t>
  </si>
  <si>
    <t xml:space="preserve">GABA(A)-Rezeptor-Aktivatoren </t>
  </si>
  <si>
    <t xml:space="preserve">antiparasitäre und -helminthische Wirkung durch an glutamatergen Chloridkanälen induzierte Hyperpolarisation, was zu Lähmung und Absterben der Parasiten führt </t>
  </si>
  <si>
    <t>PharmaWiki</t>
  </si>
  <si>
    <t xml:space="preserve">orale Therapie von Infektionen mit Fadenwürmern, Skabies, Kopfläusen und lokale Therapie entzündlicher Läsionen der Rosazea </t>
  </si>
  <si>
    <t>PharmaWiki, Fachinfo</t>
  </si>
  <si>
    <t xml:space="preserve">Abhängig von der zugrundeliegenden Erkrankung; mgl: neurologische und gastrointestinale Störungen und Reaktionen der Haut (v.a. Brennen und Rötung) </t>
  </si>
  <si>
    <t xml:space="preserve">Überempfindlichkeit, Schwangerschaft, Stillzeit, Kinder unter 15 kg </t>
  </si>
  <si>
    <t xml:space="preserve">off label use: Ab 2020 wurde ein Einsatz gegn Covid-19 geprüft, eine Zulassung durch die EMA erfolgte nicht. Einzelne Länder haben sich jedoch für eine Zulassung entschieden </t>
  </si>
  <si>
    <t>Lumefantrin</t>
  </si>
  <si>
    <t xml:space="preserve">Antiparasitikum Malaria Antiparasitäre Wirkung Inhibition des Hämin-Abbaus </t>
  </si>
  <si>
    <t xml:space="preserve">Inhibition des Hämin-Abbaus </t>
  </si>
  <si>
    <t>hemmt die Umwandlung des für die Parasiten toxischen Hämins  
W:
Absterben des Erregers</t>
  </si>
  <si>
    <t xml:space="preserve">Therapie einer akuten unkomplizierten Malaria-Infektion </t>
  </si>
  <si>
    <t>Inappetenz, Schlafstörungen, Kopfschmerzen, Parästhesie, Schwindel, QT-Verlängerung, Arthralgien, Myalgien, gastrointestinale Störungen</t>
  </si>
  <si>
    <t xml:space="preserve">Malaria mit schwerem Verlauf, glz. Medikationion mit über CYP2D6 metabolisierten Medikamenten/CYP3A4-Inhibitoren, kardiale Risiken und Risiko eines plötzlichen Herztodes oder einer QT-Verlängerung, </t>
  </si>
  <si>
    <t>nur als Kombinationspräparat aus den Wirkstoffen Artemether und Lumefantrin eingesetzt,</t>
  </si>
  <si>
    <t>Mebendazol</t>
  </si>
  <si>
    <t>Antiparasitikum Antihelmetikum  Antiparasitäre Wirkung Mikrotubuli-Inhibitoren Hundebandwurm Fuchsbandwurm</t>
  </si>
  <si>
    <t>Mikrotubuli-Inhibitoren</t>
  </si>
  <si>
    <t xml:space="preserve">bindet spezifisch an Tubulin und induziert degenerative Veränderungen des parasitären Intestinaltraktes, was zum Absterben der Würmer führt </t>
  </si>
  <si>
    <t xml:space="preserve">ab 14 Jahren Anwendung bei inoperablem oder nicht radikalem Hunde-/Fuchsbandwurm </t>
  </si>
  <si>
    <t xml:space="preserve">häufig Abdominalschmerzen </t>
  </si>
  <si>
    <t>Überempfindlichkeit, Leberschäden, Schwangerschaft und Stillzeit</t>
  </si>
  <si>
    <t>Permethrin</t>
  </si>
  <si>
    <t>Antiparasitikum Antiparasitäre Wirkung Natriumkanalaktivator Krätze Kopfläuse Filzläuse</t>
  </si>
  <si>
    <t xml:space="preserve">Natriumkanalaktivator </t>
  </si>
  <si>
    <t xml:space="preserve">Ektoparasiten durch Wirkung auf die Natriumkanäle der Nervenzellmembran; Absterben der Parasiten durch Paralyse </t>
  </si>
  <si>
    <t xml:space="preserve">GelbeListe </t>
  </si>
  <si>
    <t xml:space="preserve">Insektizid und Akarizid -&gt; in Deutschland zur Behandlung der Krätze, sowie Kopf- und Filzläusen eingesetzt </t>
  </si>
  <si>
    <t xml:space="preserve">Nebenwirkungen der Haut: Parästhesien, Hautbrennen und -irritationen, Pruritus </t>
  </si>
  <si>
    <t xml:space="preserve">Neugeborene und Säuglinge in den ersten beiden Lebensmonaten </t>
  </si>
  <si>
    <t>Artemether</t>
  </si>
  <si>
    <t xml:space="preserve">Antiparasitikum Malaria Antiparasitäre Wirkung Radikalbildner </t>
  </si>
  <si>
    <t xml:space="preserve">Radikalbildner </t>
  </si>
  <si>
    <t>Vom Artemisinin abgeleitet, wirkt  über eine endogene Peroxidgruppe, die in infizierten Erythrozyten vermutlich für die Plasmodien toxische Radikale bildet. 
W:
Abtötung der  Blutschizonten und Gametozyten</t>
  </si>
  <si>
    <t>Kombinationspräparat mit Lumefantrin, Metabolisierung über CYP3A4</t>
  </si>
  <si>
    <t>Dimeticon</t>
  </si>
  <si>
    <t>Antiparasitikum Kopfläuse Blähungen Antiparasitäre Wirkung Reduktoren der Oberflächenspannung</t>
  </si>
  <si>
    <t xml:space="preserve">Reduktoren der Oberflächenspannung </t>
  </si>
  <si>
    <r>
      <rPr>
        <sz val="11"/>
        <color rgb="FF000000"/>
        <rFont val="Calibri"/>
        <family val="2"/>
        <charset val="1"/>
      </rPr>
      <t xml:space="preserve">Eindringen der Lösung in die Atemwege der Läuse, die daran ersticken, </t>
    </r>
    <r>
      <rPr>
        <sz val="11"/>
        <color rgb="FF70AD47"/>
        <rFont val="Calibri"/>
        <charset val="1"/>
      </rPr>
      <t xml:space="preserve">bringt durch seine physikalischen Eigenschaften die intestinalen Gasbläschen zum Platzen </t>
    </r>
    <r>
      <rPr>
        <sz val="11"/>
        <color rgb="FF000000"/>
        <rFont val="Calibri"/>
        <charset val="1"/>
      </rPr>
      <t>lokale Antischaumwirkung, daher auch oral bei Blähungen eingesetzt</t>
    </r>
    <r>
      <rPr>
        <sz val="11"/>
        <color rgb="FF70AD47"/>
        <rFont val="Calibri"/>
        <charset val="1"/>
      </rPr>
      <t xml:space="preserve"> </t>
    </r>
  </si>
  <si>
    <r>
      <rPr>
        <sz val="11"/>
        <color rgb="FF000000"/>
        <rFont val="Calibri"/>
        <family val="2"/>
        <charset val="1"/>
      </rPr>
      <t xml:space="preserve">physikalische Behandlung von Kopfläusen, orale Gabe zur </t>
    </r>
    <r>
      <rPr>
        <sz val="11"/>
        <color rgb="FF000000"/>
        <rFont val="Calibri"/>
        <charset val="1"/>
      </rPr>
      <t xml:space="preserve">Reduktion übermäßiger Gasbildung vor diagnostischen Maßnahmen </t>
    </r>
  </si>
  <si>
    <t xml:space="preserve">Reaktionen der Haut </t>
  </si>
  <si>
    <t>Atovaquon</t>
  </si>
  <si>
    <t>Antiparasitikum Malaria Antiparasitäre Wirkung Ubichinon-Analogon</t>
  </si>
  <si>
    <t xml:space="preserve">Ubichinon-Analogon </t>
  </si>
  <si>
    <t>Wirkmechanismus beruht auf einer durch Strukturanalogie zu Ubichinon (Coenzym Q) bedingten Störung des Cytochrom-bc1-Komplex des Krankheitserregers 
W:
Erreger sterben ab</t>
  </si>
  <si>
    <t>Therapie und Prophylaxe der Malaria tropica, Toxoplasmose, PcP</t>
  </si>
  <si>
    <t>am häufigsten Kopf- und Abdominalschmerzen, Diarrhö</t>
  </si>
  <si>
    <t>Aciclovir</t>
  </si>
  <si>
    <t>Virustatika Antivirale Wirkung DNA-Polymerase-Inhibition Herpes-simplex-Virus Typ 1 Herpes-simplex-Virus Typ 2 Varizella-Zoster-Virus Q9</t>
  </si>
  <si>
    <t>Antivirale Wirkung</t>
  </si>
  <si>
    <t>DNA-Polymerase-Inhibition</t>
  </si>
  <si>
    <t>Erst, wenn es in den infizierten Zellen angelangt ist, wird Aciclovir zu dem aktiven Wirkstoff Aciclovirtriphosphat metabolisiert. Dieser hemmt die Polymerase der Viren, die keine DNA mehr aufbauen können. Das Enzym baut fälschlicherweise den Wirkstoff in die neue Virus-DNA ein, was zum Abbruch der Kette führt und so stoppt die Virusvermehrung</t>
  </si>
  <si>
    <t>https://www.gelbe-liste.de/wirkstoffe/Aciclovir_231</t>
  </si>
  <si>
    <t>Herpes-simplex-Virus Typ 1 und 2, Varizella-Zoster-Virus</t>
  </si>
  <si>
    <r>
      <rPr>
        <sz val="11"/>
        <color rgb="FF000000"/>
        <rFont val="Calibri"/>
        <family val="2"/>
        <charset val="1"/>
      </rPr>
      <t xml:space="preserve">Häufig: Schwindel, Kopfschmerzen, Übelkeit, Erbrechen, Durchfall
</t>
    </r>
    <r>
      <rPr>
        <sz val="11"/>
        <color rgb="FF37761D"/>
        <rFont val="Calibri"/>
        <family val="2"/>
        <charset val="1"/>
      </rPr>
      <t>Gelegentlich: Urtikaria, diffuser Haarausfall, Müdigkeit, Fieber, Anämie, Thrombozytopenie, Leukopenie
Sehr selten: Anämie, Leukopenie, Thrombozytopenie, Neutropenie, Dyspnoe, Tremor, Ataxie, Dysarthrie, Hepatitis, akutes Nierenversagen, Angioödem</t>
    </r>
  </si>
  <si>
    <t>Wird Aciclovir als Tablette angewendet, kann es mit folgenden Wirkstoffen zu Wechselwirkungen kommen: 
Probenecid, Cimetidin, Theophyllin, Mycophenolat-Mofetil, Lithium, Ciclosporin, Tacrolimus</t>
  </si>
  <si>
    <t>Ganciclovir</t>
  </si>
  <si>
    <t>Virustatika Antivirale Wirkung DNA-Polymerase-Inhibition Cytomegalievirus CMV Q9</t>
  </si>
  <si>
    <t>Erst, wenn es in den infizierten Zellen angelangt ist, wird Ganciclovir zu dem aktiven Wirkstoff Ganciclovirtriphosphat metabolisiert. Dieser hemmt die Polymerase der Viren, die keine DNA mehr aufbauen können. Das Enzym baut fälschlicherweise den Wirkstoff in die neue Virus-DNA ein, was zum Abbruch der Kette führt und so stoppt die Virusvermehrung</t>
  </si>
  <si>
    <t>https://www.pharmawiki.ch/wiki/index.php?wiki=ganciclovir</t>
  </si>
  <si>
    <t>CMV-Erkrankungen, z. B. bei Immungeschwächten, Vorbeugung einer CMV-Infektion bei Immunsuppression</t>
  </si>
  <si>
    <t>Q9-VL_Infektionen_WS2021-22_Skript.pdf</t>
  </si>
  <si>
    <t>Zu den häufigsten möglichen UAW gehören Durchfall, Neutropenie und Fieber</t>
  </si>
  <si>
    <t>Überempfindlichkeit, Neutropenie, Thrombopenie, Schwangerschaft und Stillzeit, Männer die ein Kind zeugen wollen</t>
  </si>
  <si>
    <t>Elvitegravir</t>
  </si>
  <si>
    <t>Virustatika Antivirale Wirkung Integrase-Inhibitoren HIV Humanes Immundefizienz-Virus Q9</t>
  </si>
  <si>
    <t>Integrase-Inhibitoren</t>
  </si>
  <si>
    <t>Hemmung des Einbaus der Virus-DNA in das Genom</t>
  </si>
  <si>
    <t>HIV Infektion</t>
  </si>
  <si>
    <t>gastrointestinale UAW, Hautausschlag</t>
  </si>
  <si>
    <t>Fachinformation Stribild (Gilead Sciences)</t>
  </si>
  <si>
    <r>
      <rPr>
        <sz val="11"/>
        <color rgb="FF000000"/>
        <rFont val="Calibri"/>
        <family val="2"/>
        <charset val="1"/>
      </rPr>
      <t>Überempfindlichkeit, gleichzeitige Anwendung von Arzneimitteln, deren Clearance stark von CYP3A abhängig ist</t>
    </r>
    <r>
      <rPr>
        <sz val="11"/>
        <color rgb="FF37761D"/>
        <rFont val="Calibri"/>
        <family val="2"/>
        <charset val="1"/>
      </rPr>
      <t>, dazu gehören:
Alpha-1-Adrenozeptor-Antagonisten: Alfuzosin
Antiarrhythmika: Amiodaron, Chinidin
Ergotaminderivate: Dihydroergotamin, Ergometrin, Ergotamin
Wirkstoffe zur Verbesserung der gastrointestinalen Motilität: Cisaprid
HMG-CoA-Reduktasehemmer: Lovastatin, Simvastatin
Neuroleptika/Antipsychotika: Pimozid, Lurasidon
PDE-5-Hemmer: Sildenafil zur Behandlung der pulmonalen arteriellen Hypertonie
Sedativa/Hypnotika: oral angewendetes Midazolam, Triazolam</t>
    </r>
  </si>
  <si>
    <t>z.B. in Kombination mit Tenofovir, Emtricitabin und Cobicistat (Boosterung); Abbau über CYP3A4</t>
  </si>
  <si>
    <t>Raltegravir</t>
  </si>
  <si>
    <t xml:space="preserve">Zu den häufigsten möglichen UAW gehören Durchfall, Übelkeit, Kopfschmerzen, Erschöpfung, Infektionen der oberen Atemwege und Fieber. </t>
  </si>
  <si>
    <t>https://www.pharmawiki.ch/wiki/index.php?wiki=raltegravir</t>
  </si>
  <si>
    <t>Fachinformation Isentress (Merck)</t>
  </si>
  <si>
    <t>Resistenzen treten besonders rasch unter Raltegravir-Therapie auf, geringeres Interaktionspotential im Vergleich zu Elvitegravir (Ausnahme Rifampicin), z.B. in Kombination mit Truvada</t>
  </si>
  <si>
    <t>Mutschler Arzneimittelwirkungen, 11. Auflage, S.1080</t>
  </si>
  <si>
    <t>HIV.jpg</t>
  </si>
  <si>
    <t xml:space="preserve">Mutschler Arzneimittelwirkungen, 11. Auflage, S. 1072, Abb. 84.9
</t>
  </si>
  <si>
    <t>Oseltamivir</t>
  </si>
  <si>
    <t>Virustatika Antivirale Wirkung Neuraminidase-Inhibitoren Influenza Q9</t>
  </si>
  <si>
    <t>Neuraminidase-Inhibitoren</t>
  </si>
  <si>
    <t>Hemmung der viralen Neuraminidasen verhindert die Freisetzung von neu gebildeten Viren aus infizierten Zellen</t>
  </si>
  <si>
    <t>Fachinformation Tamiflu (Roche)</t>
  </si>
  <si>
    <t xml:space="preserve">Prophylaxe und Postexpositionsprophylaxe der Influenza  </t>
  </si>
  <si>
    <r>
      <rPr>
        <sz val="11"/>
        <color rgb="FF000000"/>
        <rFont val="Calibri"/>
        <family val="2"/>
        <charset val="1"/>
      </rPr>
      <t xml:space="preserve">In Studien zur Behandlung traten am häufigsten Übelkeit und Erbrechen auf und in Studien zur Prophylaxe Übelkeit. 
</t>
    </r>
    <r>
      <rPr>
        <sz val="11"/>
        <color rgb="FF37761D"/>
        <rFont val="Calibri"/>
        <family val="2"/>
        <charset val="1"/>
      </rPr>
      <t>Selten: anaphylaktische und anaphylaktoide Reaktionen, Lebererkrankungen (fulminante Hepatitis, Leberfunktionsstörung und Gelbsucht), angioneurotisches Ödem, Stevens-Johnson-Syndrom, toxische epidermale Nekrolyse, gastrointestinale Blutungen und neuropsychiatrische Erkrankungen</t>
    </r>
  </si>
  <si>
    <t>Neuraminidase.jpg</t>
  </si>
  <si>
    <t xml:space="preserve">Mutschler Arzneimittelwirkungen, 11. Auflage, S. 1055, Abb. 84.1
</t>
  </si>
  <si>
    <t>Efavirenz</t>
  </si>
  <si>
    <t>Virustatika Antivirale Wirkung Nicht-nukleosidische Reverse-Transkriptase-Inhibitoren (NNRTIs) HIV Humanes Immundefizienz-Virus Q9</t>
  </si>
  <si>
    <t>Nicht-nukleosidische Reverse-Transkriptase-Inhibitoren (NNRTIs)</t>
  </si>
  <si>
    <r>
      <rPr>
        <sz val="11"/>
        <color rgb="FF000000"/>
        <rFont val="Calibri"/>
        <family val="2"/>
        <charset val="1"/>
      </rPr>
      <t xml:space="preserve">Die allosterische Anlagerung nahe der Substratbindungsstelle führt zur Enzymhemmung. </t>
    </r>
    <r>
      <rPr>
        <sz val="11"/>
        <color rgb="FF01FD55"/>
        <rFont val="Calibri"/>
        <family val="2"/>
        <charset val="1"/>
      </rPr>
      <t>Reverse Transkriptase von HIV-2 und humane DNA-Polymerasen werden durch diese Pharmaka nicht blockiert. Infolge unterschiedlicher Bindungsstellen am Enzym wirken Nukleosid-Analoga und Nicht-Nukleoside synergistisch.</t>
    </r>
  </si>
  <si>
    <t>Mutschler Arzneimittelwirkungen, 11. Auflage, S.1079</t>
  </si>
  <si>
    <t>Mutschler Arzneimittelwirkungen, 11. Auflage, S.1078</t>
  </si>
  <si>
    <r>
      <rPr>
        <sz val="11"/>
        <color rgb="FF000000"/>
        <rFont val="Calibri"/>
        <family val="2"/>
        <charset val="1"/>
      </rPr>
      <t xml:space="preserve">Zu den häufigsten möglichen unerwünschten Wirkungen gehören Hautausschlag, Schwindel, Übelkeit, Kopfschmerzen, Müdigkeit, abnormale Träume, Angstgefühl, Depression, Schlaflosigkeit
</t>
    </r>
    <r>
      <rPr>
        <sz val="11"/>
        <color rgb="FF37761D"/>
        <rFont val="Calibri"/>
        <family val="2"/>
        <charset val="1"/>
      </rPr>
      <t xml:space="preserve">
Gelegentlich: Affektlabilität, Halluzination</t>
    </r>
  </si>
  <si>
    <t>Mutschler Arzneimittelwirkungen, 11. Auflage, S.1079-1080
Fachinformation Efivarenz (Ratiopharm)</t>
  </si>
  <si>
    <t>Überempfindlichkeit, Patienten mit schwerer Leberschädigung
Es darf nicht mit CYP3A4-Substraten mit einer engen therapeutischen Breite, Voriconaol und Johanniskraut kombiniert werden</t>
  </si>
  <si>
    <t>https://www.pharmawiki.ch/wiki/index.php?wiki=efavirenz</t>
  </si>
  <si>
    <t xml:space="preserve">Efavirenz darf nicht als alleiniges Arzneimittel zur Behandlung der HIV-Infektion angewendet oder als einziges Arzneimittel bei Versagen eines Therapieschemas ergänzt werden. Es bilden sich schnell resistente Viren dabei. </t>
  </si>
  <si>
    <t>Fachinformation Efivarenz (Ratiopharm)
Mutschler Arzneimittelwirkungen, 11. Auflage, S.1079</t>
  </si>
  <si>
    <t>Nevirapin</t>
  </si>
  <si>
    <r>
      <rPr>
        <sz val="11"/>
        <color rgb="FF000000"/>
        <rFont val="Calibri"/>
        <family val="2"/>
        <charset val="1"/>
      </rPr>
      <t xml:space="preserve">Häufig: Hautausschlag, allergische Reaktionen, Leberentzündung, abnormer Leberfunktionstest, Übelkeit, Erbrechen, Durchfall, Bauchschmerzen, Müdigkeit, Fieber, Kopfschmerzen, Muskelschmerzen
</t>
    </r>
    <r>
      <rPr>
        <sz val="11"/>
        <color rgb="FF37761D"/>
        <rFont val="Calibri"/>
        <family val="2"/>
        <charset val="1"/>
      </rPr>
      <t>Kann schwere Hautreaktionen wie eine Stevens-Johnson-Syndrom und schwere Leberentzündung verursachen, v. a. in den ersten 18 Behandlungswochen engmaschig zu überwachen</t>
    </r>
  </si>
  <si>
    <t>Mutschler Arzneimittelwirkungen, 11. Auflage, S.1079-1080
https://www.pharmawiki.ch/wiki/index.php?wiki=nevirapin</t>
  </si>
  <si>
    <t>Überempfindlichkeit, schwere Beeinträchtigung der Leber- oder Nierenfunktion, Kombination mit Johanniskraut oder Rifampicin (Enzym-Induktoren)</t>
  </si>
  <si>
    <t>https://www.pharmawiki.ch/wiki/index.php?wiki=nevirapin</t>
  </si>
  <si>
    <t xml:space="preserve">Efivarenz darf nicht als alleiniges Arzneimittel zur Behandlung der HIV-Infektion angewendet oder als einziges Arzneimittel bei Versagen eines Therapieschemas ergänzt werden. Es bilden sich schnell resistente Viren dabei. </t>
  </si>
  <si>
    <t>Emtricitabin</t>
  </si>
  <si>
    <t>Virustatika Antivirale Wirkung Nukleosidische/nukleotidische Reverse-Transkriptase-Inhibitoren (NRTIs) HIV Humanes Immundefizienz-Virus Q9</t>
  </si>
  <si>
    <t>Nukleosidische/nukleotidische Reverse-Transkriptase-Inhibitoren (NRTIs)</t>
  </si>
  <si>
    <t>Hemmung des retroviralen Enzymes Reverse Transkriptase</t>
  </si>
  <si>
    <t>https://www.pharmawiki.ch/wiki/index.php?wiki=emtricitabin</t>
  </si>
  <si>
    <t>HIV-Infektion</t>
  </si>
  <si>
    <r>
      <rPr>
        <sz val="11"/>
        <color rgb="FF000000"/>
        <rFont val="Calibri"/>
        <family val="2"/>
        <charset val="1"/>
      </rPr>
      <t xml:space="preserve">Häufig: Kopfschmerzen, Durchfall, Übelkeit, Müdigkeit, Schwindel, Depression, Schlafstörungen, Hautausschlag, Bauchschmerzen, Schwäche, Husten, Rhinitis, verstärkte Hautpigmentierung bei Kindern
</t>
    </r>
    <r>
      <rPr>
        <sz val="11"/>
        <color rgb="FF37761D"/>
        <rFont val="Calibri"/>
        <family val="2"/>
        <charset val="1"/>
      </rPr>
      <t xml:space="preserve">
Selten: Laktatazidose, schwere Lebervergrößerung</t>
    </r>
  </si>
  <si>
    <t>https://www.gelbe-liste.de/wirkstoffe/Emtricitabin_47809</t>
  </si>
  <si>
    <t>Stillzeit: nicht empfohlen
Schwangerschaft: nach Abwägung</t>
  </si>
  <si>
    <t>Tenofovir</t>
  </si>
  <si>
    <t>Virustatika Antivirale+Wirkung Nukleosidische/nukleotidische Reverse-Transkriptase-Inhibitoren (NRTIs) HIV Humanes Immundefizienz-Virus Hepatitis-B-Virus Q9</t>
  </si>
  <si>
    <t>Mutschler Arzneimittelwirkungen, 11. Auflage, S.1077</t>
  </si>
  <si>
    <t>HIV-Infektion, HBV-Infektion</t>
  </si>
  <si>
    <r>
      <rPr>
        <sz val="11"/>
        <color rgb="FF000000"/>
        <rFont val="Calibri"/>
        <family val="2"/>
        <charset val="1"/>
      </rPr>
      <t xml:space="preserve">Gelegentlich: Nierenfunktionsstörung nach Tenofovirdisoproxil (seltener nach Tenofoviralafenamid)
</t>
    </r>
    <r>
      <rPr>
        <sz val="11"/>
        <color rgb="FF37761D"/>
        <rFont val="Calibri"/>
        <family val="2"/>
        <charset val="1"/>
      </rPr>
      <t xml:space="preserve">
Selten: schwere Nierenschäden, akutes Nierenversagen (beides seltener nach Tenofoviralafenamid)
</t>
    </r>
  </si>
  <si>
    <r>
      <rPr>
        <sz val="11"/>
        <color rgb="FF000000"/>
        <rFont val="Calibri"/>
        <family val="2"/>
        <charset val="1"/>
      </rPr>
      <t xml:space="preserve">Kombination mit nephrotoxischen Arzneistoffen (Aminoglykoside, Amphotericin B, Foscarnet, Vancomycin) oder NSAID bei Tenofovirdisoproxil vermeiden
</t>
    </r>
    <r>
      <rPr>
        <sz val="11"/>
        <color rgb="FF37761D"/>
        <rFont val="Calibri"/>
        <family val="2"/>
        <charset val="1"/>
      </rPr>
      <t>Tenofoviralafenamid ist ein P-gp-Substrat, die gleichzeitige Anwendung starker P-gp-Induktoren (z. B. Rifampicin, Johanniskraut) kann zu unwirksamen Plasmaspiegeln, die gleichzeitige Anwendung starker P-gp-Inhibitoren (z. B. Azol-Antimykotika) zu erhöhten Plasmaspiegeln führen</t>
    </r>
  </si>
  <si>
    <t xml:space="preserve">Tenofovir gibt es als zwei verschiedene Prodrugs: Tenofovirdisoproxil und Tenofoviralafenamid
</t>
  </si>
  <si>
    <t>Ledipasvir</t>
  </si>
  <si>
    <t>Virustatika Antivirale Wirkung NS5A-Inhibitoren chronische Hepatitis C Q9</t>
  </si>
  <si>
    <t>NS5A-Inhibitoren</t>
  </si>
  <si>
    <t>Bindung an das Nichtstrukturprotein 5A (NS5A), das für die Virusreplikation essenziell ist</t>
  </si>
  <si>
    <t>Mutschler Arzneimittelwirkungen, 11. Auflage, S.1066</t>
  </si>
  <si>
    <t>chronische Hepatitis C</t>
  </si>
  <si>
    <t>Mutschler Arzneimittelwirkungen, 11. Auflage, S.1065</t>
  </si>
  <si>
    <r>
      <rPr>
        <sz val="11"/>
        <color rgb="FF000000"/>
        <rFont val="Calibri"/>
        <family val="2"/>
        <charset val="1"/>
      </rPr>
      <t xml:space="preserve">Nebenwirkungsprofil für Harvoni (Kombipräparat Ledipasvir, Sofosbuvir), weil nur in Kombinationstherapie erfasst:
Sehr häufig: Kopfschmerzen, Erschöpfung
Häufig: Hautausschlag
</t>
    </r>
    <r>
      <rPr>
        <sz val="11"/>
        <color rgb="FF37761D"/>
        <rFont val="Calibri"/>
        <family val="2"/>
        <charset val="1"/>
      </rPr>
      <t xml:space="preserve">
Wie bei Kombitherapie mit Velpatasvir/Sofosbuvir besteht ein erhöhtes Risiko für Bradykardie und Herzblock durch Sofosbuvir bei Patienten mit Amiodaron als Begleitmedikation</t>
    </r>
  </si>
  <si>
    <t>Fachinformation Harvoni (Gilead Sciences)
Mutschler Arzneimittelwirkungen, 11. Auflage, S.1065</t>
  </si>
  <si>
    <t>Überempfindlichkeit, Kombination mit starken P-Glykoprotein(P-gp)-Induktoren (Carbamazepin, Phenobarbital, Phenytoin, Rifampicin, Rifabutin, Johanniskraut)</t>
  </si>
  <si>
    <t>Fachinformation Harvoni (Gilead Sciences)</t>
  </si>
  <si>
    <t>HCV.jpg</t>
  </si>
  <si>
    <t xml:space="preserve">Mutschler Arzneimittelwirkungen, 11. Auflage, S. 1065, Abb. 84.6
</t>
  </si>
  <si>
    <t>Sofosbuvir</t>
  </si>
  <si>
    <t>Virustatika Antivirale Wirkung NS5B-Inhibitoren chronische Hepatitis C Q9</t>
  </si>
  <si>
    <t>NS5B-Inhibitoren</t>
  </si>
  <si>
    <t xml:space="preserve">nach Aktivierung (Prodrug) Hemmung der RNA-abhängigen Polymerase NS5B, dadurch Kettenabbruch bei der RNA-Replikation </t>
  </si>
  <si>
    <t>Mutschler Arzneimittelwirkungen, 11. Auflage, S.1067</t>
  </si>
  <si>
    <t>https://www.pharmawiki.ch/wiki/index.php?wiki=Sofosbuvir</t>
  </si>
  <si>
    <r>
      <rPr>
        <sz val="11"/>
        <color rgb="FF000000"/>
        <rFont val="Calibri"/>
        <family val="2"/>
        <charset val="1"/>
      </rPr>
      <t xml:space="preserve">Nebenwirkungsprofil für Kombinationstherapie (nur für Kompinationstherapie beschrieben): 
Sehr häufig: Kopfschmerzen, Übelkeit, Fatigue
</t>
    </r>
    <r>
      <rPr>
        <sz val="11"/>
        <color rgb="FF37761D"/>
        <rFont val="Calibri"/>
        <family val="2"/>
        <charset val="1"/>
      </rPr>
      <t>Hautausschläge
Bei der Behandlung mit Sofosbuvir (sofosbuvir/Velpatasvir Kombi) wurden bei Patienten, die gleichzeitig Amiodaron erhielten, schwere, lebensbedrohliche Herzrhythmusstörungen (Bradykardie, Herzblock) beobachtet</t>
    </r>
  </si>
  <si>
    <t>Mutschler Arzneimittelwirkungen, 11. Auflage, S.1069</t>
  </si>
  <si>
    <t>Sofosbuvir ist P-gp-Substrat und darf nicht gleichzeitig mit starken P-gp-Induktoren (z. B. Johanniskraut) angewendet werden, da dies zu stark erniedrigten Plasmakonzentrationen führen können</t>
  </si>
  <si>
    <t>Atazanavir</t>
  </si>
  <si>
    <t>Virustatika Antivirale Wirkung Protease-Inhibitoren HIV Humanes Immundefizienz-Virus Q9</t>
  </si>
  <si>
    <t>Protease-Inhibitoren</t>
  </si>
  <si>
    <t>Protease-Inhibitoren greifen posttranslational hemmend in die virale Proteinsynthese ein. Durch Hemmung der Protease wird die Prozessierung viraler Polyproteinvorstufen unterbunden, sodass unreife, nicht infektiöse Viruspartikel gebildet werden</t>
  </si>
  <si>
    <t>Mutschler Arzneimittelwirkungen, 11. Auflage, S.1081</t>
  </si>
  <si>
    <r>
      <rPr>
        <sz val="11"/>
        <color rgb="FF000000"/>
        <rFont val="Calibri"/>
        <family val="2"/>
        <charset val="1"/>
      </rPr>
      <t xml:space="preserve">Bei Langzeitbehandlung tritt sehr häufig ein: Dyslipidämie, metabolisches Syndrom, Insulinresistenz
</t>
    </r>
    <r>
      <rPr>
        <sz val="11"/>
        <color rgb="FF37761D"/>
        <rFont val="Calibri"/>
        <family val="2"/>
        <charset val="1"/>
      </rPr>
      <t>Können trotz Ernährungsumstellung die Cholesterol- und Triglyceridwerte nicht gesenkt werden, kann eine Behandlung mit Statinen oder Metformin indiziert sein</t>
    </r>
  </si>
  <si>
    <t>Mutschler Arzneimittelwirkungen, 11. Auflage, S.1083</t>
  </si>
  <si>
    <t>Relative Kontraindikation schwere Leberfunktionsstörungen</t>
  </si>
  <si>
    <t>Simeprevir</t>
  </si>
  <si>
    <t>Virustatika Antivirale Wirkung Protease-Inhibitoren chronische Hepatitis C Q9</t>
  </si>
  <si>
    <t>nicht-kovalente Hemmung des viralen Enzyms NS3/4A-Protease</t>
  </si>
  <si>
    <t>https://www.pharmawiki.ch/wiki/index.php?wiki=simeprevir</t>
  </si>
  <si>
    <r>
      <rPr>
        <sz val="11"/>
        <color rgb="FF000000"/>
        <rFont val="Calibri"/>
        <family val="2"/>
        <charset val="1"/>
      </rPr>
      <t xml:space="preserve">Zu den häufigsten möglichen UAW gehören Hautausschlag, Juckreiz und Übelkeit. </t>
    </r>
    <r>
      <rPr>
        <sz val="11"/>
        <color rgb="FF37761D"/>
        <rFont val="Calibri"/>
        <family val="2"/>
        <charset val="1"/>
      </rPr>
      <t>Simeprevir kann die Haut für UV- und Sonnenstrahlung empfindlich  machen (Photosensibilisierung)</t>
    </r>
  </si>
  <si>
    <t>Überempfindlichkeit, in Kombination mit mäßigen bis starken CYP3A-Induktoren und aufgrund fruchtschädigender Eigenschaften während der Schwangerschaft kontraindiziert</t>
  </si>
  <si>
    <t>Das Medikament wurde zwischenzeitlich vom Markt genommen</t>
  </si>
  <si>
    <t>Ribavirin</t>
  </si>
  <si>
    <t>Virustatika Antivirale Wirkung RNA-Polymerase-Inhibitoren chronische Hepatitis C Q9</t>
  </si>
  <si>
    <t>RNA-Polymerase-Inhibitoren</t>
  </si>
  <si>
    <t>Der genaue Wirkmechanismus ist unklar, aber ein vorgeschlagener Mechanismus ist die stark kompetitive Hemmung der Inosinmonophosphatdehydrogenase (IMPDH), die zu einer reduzierten Guanosinmonophosphat-Biosynthese führt. Diese Veränderungen im Nukleotidpool in Zellen können sekundär einen großen Einfluss auf die Wirtszell- und virale Genexpression sowie auf die virale Replikation haben</t>
  </si>
  <si>
    <t>https://www.gelbe-liste.de/wirkstoffe/Ribavirin_40749</t>
  </si>
  <si>
    <r>
      <rPr>
        <sz val="11"/>
        <color rgb="FF000000"/>
        <rFont val="Calibri"/>
        <family val="2"/>
        <charset val="1"/>
      </rPr>
      <t xml:space="preserve">DIe Hauptnebenwirkung von Ribavirin ist die hämolytische Anämie mit einer mittleren Hämoglobinabnahme von etwas 20 g/l während der Behandlung.
</t>
    </r>
    <r>
      <rPr>
        <sz val="11"/>
        <color rgb="FF37761D"/>
        <rFont val="Calibri"/>
        <family val="2"/>
        <charset val="1"/>
      </rPr>
      <t>Ebenfalls erhöhtes Risiko für Juckreiz, Hautausschlag, Husten sowie neuropsychiatrischen Nebenwirkungen (z. B. Schlaflosigkeit)</t>
    </r>
  </si>
  <si>
    <t>Überempfindlichkeit, Schwangerschaft und Stillzeit, vorbestehende schwere Herzkrankheit, stark schwächende Erkrankungen, chronische Niereninsuffizienz, Kreatinin-Clearance &lt; 50 ml/Minute und/oder dialysepflichtige Patienten, schwere Leberfunktionsstörung oder dekompensierte Leberzirrhose, Hämoglobinopathien (z. B. Thalassämie, Sichelzellanämie)</t>
  </si>
  <si>
    <t xml:space="preserve">Vorsicht bei Kombination mit Azathioprin: verstärkte Myelosuppression durch Azathioprin möglich. Einsatz von Ribavirin zur Behandlung von Hepatitis C in Kombination mit Interferon. Eine Interferonbasierte Therapie entspricht jedoch heute nicht mehr dem Therapiestandard, weil sie mit schweren Nebenwirkungen assoziiert ist, die in Häufigkeit und Schwere der chronischen Hepatitis C gleichen. </t>
  </si>
  <si>
    <t>grüne Farbe: diese Inhalte sind in der Basis-Karten-Sammlung nicht enthalten</t>
  </si>
  <si>
    <t xml:space="preserve">Simvastatin </t>
  </si>
  <si>
    <t>Metabolische Erkrankungen</t>
  </si>
  <si>
    <t xml:space="preserve">Metabolische Erkrankungen Lipidstoffwechsel HMG-CoA-Reduktase-Inhibitoren Statin HMG-CoA-Reduktase-Inhibitoren Hypercholesterinämie Q9 </t>
  </si>
  <si>
    <t>Lipidstoffwechsel</t>
  </si>
  <si>
    <t>HMG-CoA-Reduktase-Inhibitoren</t>
  </si>
  <si>
    <t>Wirkmechanismus/Wirkung, Indikationen, Kontraindikationen, UAW, Sonstiges (Monitoring, Einnahmehinweise, Wechselwirkungen, Vergleich mit anderen Statinen)</t>
  </si>
  <si>
    <r>
      <rPr>
        <sz val="10"/>
        <color rgb="FF006C31"/>
        <rFont val="Calibri"/>
        <family val="2"/>
        <charset val="1"/>
      </rPr>
      <t>Reversibler und kompetitiver</t>
    </r>
    <r>
      <rPr>
        <sz val="10"/>
        <color rgb="FF000000"/>
        <rFont val="Calibri"/>
        <family val="2"/>
        <charset val="1"/>
      </rPr>
      <t xml:space="preserve"> HMG-CoA-Reduktase-Inhibitor bzw. Cholesterinsyntheseenzym-Hemmer (CSE-Hemmer) bzw. Statin. </t>
    </r>
    <r>
      <rPr>
        <sz val="10"/>
        <color rgb="FF006C31"/>
        <rFont val="Calibri"/>
        <family val="2"/>
        <charset val="1"/>
      </rPr>
      <t xml:space="preserve">Dosisabhängige </t>
    </r>
    <r>
      <rPr>
        <sz val="10"/>
        <color rgb="FF000000"/>
        <rFont val="Calibri"/>
        <family val="2"/>
        <charset val="1"/>
      </rPr>
      <t xml:space="preserve">LDL-Abnahme mit nachgewiesener kardiovaskulärer Prognoseverbesserung; pleiotrope Effekte </t>
    </r>
    <r>
      <rPr>
        <sz val="10"/>
        <color rgb="FF006C31"/>
        <rFont val="Calibri"/>
        <family val="2"/>
        <charset val="1"/>
      </rPr>
      <t>(Beeinflussung der Endothelfunktion --&gt;Plaquestabilisierung in Gefäßen, Beeinflussung von Hämostase und Pathogenese der Atherosklerose)</t>
    </r>
  </si>
  <si>
    <t>Q9-V-Skript WS2021 Therapie von Fettstoffwechselstörungen, Karow, Amboss</t>
  </si>
  <si>
    <r>
      <rPr>
        <sz val="10"/>
        <color rgb="FF000000"/>
        <rFont val="Calibri"/>
        <family val="2"/>
        <charset val="1"/>
      </rPr>
      <t xml:space="preserve">Erste Wahl bei Hypercholesterinämie </t>
    </r>
    <r>
      <rPr>
        <sz val="10"/>
        <color rgb="FF006C31"/>
        <rFont val="Calibri"/>
        <family val="2"/>
        <charset val="1"/>
      </rPr>
      <t>bzw. Hyperlipidämie mit vorherrschender Hypercholesterinämie</t>
    </r>
    <r>
      <rPr>
        <sz val="10"/>
        <color rgb="FF000000"/>
        <rFont val="Calibri"/>
        <family val="2"/>
        <charset val="1"/>
      </rPr>
      <t xml:space="preserve">; Add-On zur Therapie von Patienten nach Myokardinfarkt </t>
    </r>
    <r>
      <rPr>
        <sz val="10"/>
        <color rgb="FF006C31"/>
        <rFont val="Calibri"/>
        <family val="2"/>
        <charset val="1"/>
      </rPr>
      <t>(Hinweise auf Prognose ↑ bei sofortiger Gabe nach MI)</t>
    </r>
  </si>
  <si>
    <t>Q9-V-Skript WS2021 Therapie von Fettstoffwechselstörungen, Fachinformation Simvastatin-ratiopharm</t>
  </si>
  <si>
    <t>Selten bis sehr selten: Gastrointestinale Beschwerden; Transaminasenerhöhung; Creatinkinase (CK)-Erhöhung, Myopathie, Muskelkrämpfe --&gt; CAVE: Rhabdomyolyse!; Blutzucker-Anstieg --&gt; bei entsprechender Prädisposition diabetogen</t>
  </si>
  <si>
    <t>Q9-V-Skript WS2021 Therapie von Fettstoffwechselstörungen</t>
  </si>
  <si>
    <r>
      <rPr>
        <sz val="10"/>
        <color rgb="FF006C31"/>
        <rFont val="Calibri"/>
        <family val="2"/>
        <charset val="1"/>
      </rPr>
      <t>Leberinsuffizienz,</t>
    </r>
    <r>
      <rPr>
        <sz val="10"/>
        <color rgb="FF000000"/>
        <rFont val="Calibri"/>
        <family val="2"/>
        <charset val="1"/>
      </rPr>
      <t xml:space="preserve"> Lebererkrankungen, </t>
    </r>
    <r>
      <rPr>
        <sz val="10"/>
        <color rgb="FF006C31"/>
        <rFont val="Calibri"/>
        <family val="2"/>
        <charset val="1"/>
      </rPr>
      <t>andauernde und unklare Leberwerterhöhung;</t>
    </r>
    <r>
      <rPr>
        <sz val="10"/>
        <color rgb="FF000000"/>
        <rFont val="Calibri"/>
        <family val="2"/>
        <charset val="1"/>
      </rPr>
      <t xml:space="preserve"> Myopathien; gleichzeitige Gabe von potenten CYP3A4-Inhibitoren </t>
    </r>
    <r>
      <rPr>
        <sz val="10"/>
        <color rgb="FF006C31"/>
        <rFont val="Calibri"/>
        <family val="2"/>
        <charset val="1"/>
      </rPr>
      <t xml:space="preserve">(z.B. Azolantimykotika, Clarithromycin) </t>
    </r>
    <r>
      <rPr>
        <sz val="10"/>
        <rFont val="Calibri"/>
        <family val="2"/>
        <charset val="1"/>
      </rPr>
      <t>oder Fibraten</t>
    </r>
    <r>
      <rPr>
        <sz val="10"/>
        <color rgb="FF006C31"/>
        <rFont val="Calibri"/>
        <family val="2"/>
        <charset val="1"/>
      </rPr>
      <t xml:space="preserve"> (v.a. Gemfibrozil)</t>
    </r>
  </si>
  <si>
    <r>
      <rPr>
        <b/>
        <sz val="11"/>
        <color rgb="FF000000"/>
        <rFont val="Calibri"/>
        <family val="2"/>
        <charset val="1"/>
      </rPr>
      <t>Monitoring unter Statintherapie:</t>
    </r>
    <r>
      <rPr>
        <sz val="11"/>
        <color rgb="FF000000"/>
        <rFont val="Calibri"/>
        <family val="2"/>
        <charset val="1"/>
      </rPr>
      <t xml:space="preserve"> 1. Leberenzyme
</t>
    </r>
    <r>
      <rPr>
        <sz val="11"/>
        <color rgb="FF006C31"/>
        <rFont val="Calibri"/>
        <family val="2"/>
        <charset val="1"/>
      </rPr>
      <t xml:space="preserve">- Vor Behandlungsbeginn; acht Wochen nach Beginn und bei Dosis ↑
- Erhöhung dauerhaft &lt; 3-fach → 1x/Jahr; wenn neu aufgetreten → Kontrolle in 4-6 Wochen
</t>
    </r>
    <r>
      <rPr>
        <sz val="11"/>
        <color rgb="FF000000"/>
        <rFont val="Calibri"/>
        <family val="2"/>
        <charset val="1"/>
      </rPr>
      <t xml:space="preserve">
2. Creatinkinase </t>
    </r>
    <r>
      <rPr>
        <sz val="11"/>
        <color rgb="FF006C31"/>
        <rFont val="Calibri"/>
        <family val="2"/>
        <charset val="1"/>
      </rPr>
      <t>(kein Routinemonitoring; Kontrolle v. a. bei Mylagie)
- Vor Behandlungsbeginn; wenn &gt; 5-fach → kein Behandlungsbeginn und erneute Kontrolle
- &gt; 5-fach → Stopp; Nierenfunktion überprüfen und CK alle 2 Wochen kontrollieren
- &lt; oder gleich 5-fach → Behandlung fortsetzten wenn keine Symptome; Symptome? → Kontrolle in reg. Abständen
- &gt; 10-fach → Abbruch der Therapie</t>
    </r>
    <r>
      <rPr>
        <sz val="11"/>
        <color rgb="FF000000"/>
        <rFont val="Calibri"/>
        <family val="2"/>
        <charset val="1"/>
      </rPr>
      <t xml:space="preserve"> </t>
    </r>
    <r>
      <rPr>
        <b/>
        <sz val="11"/>
        <color rgb="FF000000"/>
        <rFont val="Calibri"/>
        <family val="2"/>
        <charset val="1"/>
      </rPr>
      <t xml:space="preserve">Einnahmehinweise und WW:
</t>
    </r>
    <r>
      <rPr>
        <sz val="11"/>
        <color rgb="FF000000"/>
        <rFont val="Calibri"/>
        <family val="2"/>
        <charset val="1"/>
      </rPr>
      <t>- Abends einnehmen! (zirkadianer Rhythmus der HMG-CoA-Reduktase) 
- Vor (größeren) Operationen absetzen
- Ausgeprägter „First pass“-Effekt</t>
    </r>
    <r>
      <rPr>
        <sz val="11"/>
        <color rgb="FF006C31"/>
        <rFont val="Calibri"/>
        <family val="2"/>
        <charset val="1"/>
      </rPr>
      <t xml:space="preserve">; Wirkung bleibt v. a. auf die Leber beschränkt (systemische Verfügbarkeit nur 5 %)
</t>
    </r>
    <r>
      <rPr>
        <sz val="11"/>
        <color rgb="FF000000"/>
        <rFont val="Calibri"/>
        <family val="2"/>
        <charset val="1"/>
      </rPr>
      <t xml:space="preserve">- Durch Cytochrom-P450-Enzym C3A4 metabolisiert </t>
    </r>
    <r>
      <rPr>
        <sz val="11"/>
        <color rgb="FF006C31"/>
        <rFont val="Calibri"/>
        <family val="2"/>
        <charset val="1"/>
      </rPr>
      <t xml:space="preserve">(Cave WW! V. a. Inhibitoren des Enzyms/Abbaus des Statins wie z. B. Azolantimykotika, Clarithromycin, HIV-Protease-Inhibitoren, Naringin aus Grapefruitsaft u.v.m. können den Abbau von Simvastatin verlangsamen und das Myopathie-Risiko erhöhen)
</t>
    </r>
    <r>
      <rPr>
        <b/>
        <sz val="11"/>
        <color rgb="FF000000"/>
        <rFont val="Calibri"/>
        <family val="2"/>
        <charset val="1"/>
      </rPr>
      <t>Vergleich mit anderen Statinen</t>
    </r>
    <r>
      <rPr>
        <sz val="11"/>
        <color rgb="FF000000"/>
        <rFont val="Calibri"/>
        <family val="2"/>
        <charset val="1"/>
      </rPr>
      <t xml:space="preserve">: CYP-Interaktionspotential ist am höchsten bei Simvastatin (CYP3A4) und Lovastatin (CYP 3A4, CYP2C8), deutlich geringer bei Atorvastatin (CYP3A4) und Fluvastatin (CYP2C9), nicht klinisch relevant bei Pravastatin und Rosuvastatin </t>
    </r>
  </si>
  <si>
    <t>Q9-V-Skript WS2021 Therapie von Fettstoffwechselstörungen, Karow, Amboss, Fachinformation Simvastatin-ratiopharm</t>
  </si>
  <si>
    <t>Statine_Abbildung.jpg
Statine_Tabelle.jpg</t>
  </si>
  <si>
    <t>Q9-VL_Metabolische_Erkrankungen_DIABETES_SKRIPT_SS2021-22.pdf
https://www.gelbe-liste.de/wirkstoffe/Simvastatin_10002</t>
  </si>
  <si>
    <t>Glibenclamid</t>
  </si>
  <si>
    <t>metabolische Erkrankungen Antidiabetika Ionenkanalblocker Kaliumkanalblocker Diabetes mellitus Q9</t>
  </si>
  <si>
    <t>Kaliumkanalblocker</t>
  </si>
  <si>
    <t>Stimulierung der Insulinsekretion durch Blockade der Kaliumkanäle (Wirkstoffklasse: Kaliumkanalblocker); insulinotrop, steigert glucoseabhängig die Insulinfreisetzung aus den Betazellen des Pankreas und wirkt dadurch blutzuckersenkend</t>
  </si>
  <si>
    <t>Fachinfo, Q9-V-Skript WS2021 Therapie von Fettstoffwechselstörungen, Karow, Amboss</t>
  </si>
  <si>
    <t>nicht-insulinabhängiger Diabetes mellitus bei Erwachsenen bei unzureichend wirksamer Lifestyle Intervention und KI/Unwirksamkeit von Metformin</t>
  </si>
  <si>
    <r>
      <rPr>
        <sz val="11"/>
        <color rgb="FF000000"/>
        <rFont val="Calibri"/>
        <family val="2"/>
        <charset val="1"/>
      </rPr>
      <t xml:space="preserve">Häufig: Hypoglykämien, Gewichtszunahme </t>
    </r>
    <r>
      <rPr>
        <sz val="11"/>
        <color rgb="FF37761D"/>
        <rFont val="Calibri"/>
        <family val="2"/>
        <charset val="1"/>
      </rPr>
      <t>Gelegentlich: Irritationen des Magen-Darm-Traktes wie Diarrhöen, Übelkeit und Erbrechen; Reaktionen der Haut (Exantheme, Urtikaria, Pruritus, Photosensibilität oder Purpura), Alkoholintoleranz</t>
    </r>
  </si>
  <si>
    <r>
      <rPr>
        <sz val="11"/>
        <color rgb="FF37761D"/>
        <rFont val="Calibri"/>
        <family val="2"/>
        <charset val="1"/>
      </rPr>
      <t xml:space="preserve">Überempfindlichkeit gegen Sulfonamid/ (-Diuretika); Probenecid; Sulfonylharnstoffe (Kreuzreaktionen sind möglich); </t>
    </r>
    <r>
      <rPr>
        <sz val="11"/>
        <color rgb="FF000000"/>
        <rFont val="Calibri"/>
        <family val="2"/>
        <charset val="1"/>
      </rPr>
      <t>Insulinabhängige Diabetes-Formen, SS und Stillzeit, azidotische oder komatöse Zustände oder bei schweren Leber-/Nierenfunktionsstörungen</t>
    </r>
  </si>
  <si>
    <r>
      <rPr>
        <sz val="11"/>
        <color rgb="FF37761D"/>
        <rFont val="Calibri"/>
        <family val="2"/>
        <charset val="1"/>
      </rPr>
      <t xml:space="preserve">Bes: multiple Wechselwirkungen mit anderen Arzneimitteln liegen vor, die zu einer Abschwächung bzw. einer Verstärkung der antidiabetischen Wirkung führen können: z.B. Betablocker
Bes: Wirksamkeit schwächt sich im Verlauf ab
</t>
    </r>
    <r>
      <rPr>
        <sz val="11"/>
        <color rgb="FF000000"/>
        <rFont val="Calibri"/>
        <family val="2"/>
        <charset val="1"/>
      </rPr>
      <t xml:space="preserve">Bes: Risikoreduktion für mikrovaskuläre Endorganschäden nachgewiesen
</t>
    </r>
  </si>
  <si>
    <t>Diabetes.jpg</t>
  </si>
  <si>
    <t>Q9-VL_Metabolische_Erkrankungen_DIABETES_SKRIPT_SS2021-22.pdf</t>
  </si>
  <si>
    <t>Sitagliptin</t>
  </si>
  <si>
    <t>metabolische Erkrankungen Antidiabetika Peptiderge Systeme Dipeptidyl-Peptidase-4-(DPP-4-)Inhibitor Typ-2 Diabetes mellitus Q9</t>
  </si>
  <si>
    <t>Dipeptidyl-Peptidase-4-(DPP-4-)Inhibitor</t>
  </si>
  <si>
    <t xml:space="preserve">durch die DPP-4-Inhibition wird der Abbau von GLP-1 gehemmt, was den Inkretin-Effekt erhöht, die Insulinsekretion steigert und damit den Blutzuckerspiegel senkt; die Wirkung ist dabei abhängig von der Menge an vorhandener Glucose (insulinotrop)
</t>
  </si>
  <si>
    <t xml:space="preserve">bei erwachsenen Patienten mit Typ-2 Diabetes mellitus als Mono- Zweifach oder Dreifachkombination; auch in Kombination mit Insulintherapie möglich 
</t>
  </si>
  <si>
    <r>
      <rPr>
        <sz val="11"/>
        <color rgb="FF000000"/>
        <rFont val="Calibri"/>
        <family val="2"/>
        <charset val="1"/>
      </rPr>
      <t xml:space="preserve">häufig: Hypoglykämien, Kopfschmerzen; Gastrointestinale Beschwerden
</t>
    </r>
    <r>
      <rPr>
        <sz val="11"/>
        <color rgb="FF37761D"/>
        <rFont val="Calibri"/>
        <family val="2"/>
        <charset val="1"/>
      </rPr>
      <t xml:space="preserve">Glg: Pruritus, Schwindel, Obstipation 
Risikoerhöhung für Pankreatitis evtl. auch für Pankreaskarzinom 
</t>
    </r>
  </si>
  <si>
    <t>Überempfindlichkeit gegen den Wirkstoff oder andere Inhaltsstoffe, Leberfunktionsstörungen, Pankreatitis, schwere Nierenfunktionsstörungen</t>
  </si>
  <si>
    <t>Diabetes.jpg
Diabetes2.jpg</t>
  </si>
  <si>
    <t>Q9-VL_Metabolische_Erkrankungen_DIABETES_SKRIPT_SS2021-22.pdf
Q9-VL_Metabolische_Erkrankungen_DIABETES_FOLIEN_WS2021-22.pdf</t>
  </si>
  <si>
    <t>Liraglutid</t>
  </si>
  <si>
    <t>metabolische Erkrankungen Antidiabetika Peptiderge Systeme GLP-1R-Agonisten nicht-insulinabhängiger Diabetes mellitus Typ 2 Q9</t>
  </si>
  <si>
    <t xml:space="preserve">GLP-1R-Agonisten </t>
  </si>
  <si>
    <t xml:space="preserve">erhöht über den GLP-1-Rezeptor die Konzentration von cAMP und damit die Sekretion von Insulin;  hemmt die Ausschüttung von Glucagon </t>
  </si>
  <si>
    <t xml:space="preserve">Mono- oder Kombinationstherapie bei nicht-insulinabhängigem Diabetes mellitus Typ 2 bei Erwachsenen, Jugendlichen und Kindern ab 10 Jahren; ebenso als Zusatztherapie zu kalorienreduzierter Ernährung bei Adipositas mit BMI über 30 oder 27 bei bestehenden Begleiterkrankungen </t>
  </si>
  <si>
    <r>
      <rPr>
        <sz val="9"/>
        <color rgb="FF000000"/>
        <rFont val="Calibri"/>
        <charset val="1"/>
      </rPr>
      <t xml:space="preserve">vordergründig gastrointestinale Beschwerden: sehr häufig: Übelkeit, Durchfall; häufig: Erbrechen, Dyspepsie (GERD), Obstipation
häufig: verminderter Appetit auch durch Verzögerung der Magenentleerung und Gewichtsabnahme (gewünscht)
</t>
    </r>
    <r>
      <rPr>
        <sz val="9"/>
        <color rgb="FF37761D"/>
        <rFont val="Calibri"/>
        <charset val="1"/>
      </rPr>
      <t xml:space="preserve">Risikoerhöhung für Pankreatitis und Pankreaskarzinom sowie Hinweise auf erhöhtes Risiko für ein medulläres Schilddrüsenkarzinom werden diskutiert 
</t>
    </r>
  </si>
  <si>
    <t xml:space="preserve">Überempfindlichkeit gegen den Wirkstoff oder andere Inhaltsstoffe, schwere Niereninsuffizienz, chronische Pankreatitis oder Pankreasraumforderungen in der Familie, vorbestehende gastrointestinale Motilitätsstörungen </t>
  </si>
  <si>
    <t xml:space="preserve">Bes.:  durch die Verlangsamung der Magententleerung ist eine Resorptionsverminderung von gleichzeitig verabreichten Medis möglich 
Bes: macht intrinsisch keine Hypoglykämien, aber können durch Wirkstoffkombinationen vorkommen; kardiovaskuläre Risikosenkung
</t>
  </si>
  <si>
    <t xml:space="preserve">Inkretinmimetika.jpg
Diabetes.jpg
Diabetes2.jpg
</t>
  </si>
  <si>
    <t>https://www.gelbe-liste.de/wirkstoffgruppen/glp-1-rezeptoragonisten-inkretinmimetika
Q9-VL_Metabolische_Erkrankungen_DIABETES_SKRIPT_SS2021-22.pdf
Q9-VL_Metabolische_Erkrankungen_DIABETES_FOLIEN_WS2021-22.pdf</t>
  </si>
  <si>
    <t xml:space="preserve">Insulin – glargin </t>
  </si>
  <si>
    <t>metabolische Erkrankungen Antidiabetika Peptiderge+Systeme Insuline Diabetes mellitus Q9</t>
  </si>
  <si>
    <t xml:space="preserve">Insuline </t>
  </si>
  <si>
    <t xml:space="preserve">WM:
Bindung an den Insulin-Rezeptor --&gt; Autophosphorylierung --&gt; Translokation des Glucosetransporters Typ-4 (GLUT-4) zur Zelloberfläche sowie eine Glykogensynthese, die die Glucosespeicherung steigert
W:
anaboles Hormon, das den Blutzuckerspiegel durch Stimulierung der peripheren Glucoseaufnahme und der Hemmung der Gluconeogenese in der Leber senkt;  hemmt zudem die Lipolyse in den Fettzellen, hemmt die Proteolyse und fördert die Proteinsynthese; langwirksam 
</t>
  </si>
  <si>
    <t>Fachinfo, Q9-V-Skript WS2021 Therapie von Fettstoffwechselstörungen, Karow, Amboss
https://www.gelbe-liste.de/wirkstoffe/Insulin-glargin_41449#Wirkmechanismus</t>
  </si>
  <si>
    <t xml:space="preserve">Diabetes mellitus bei Erwachsenen, Jugendlichen und Kindern ab 6 Jahren als Basalinsulin bei ICT oder BOT </t>
  </si>
  <si>
    <t xml:space="preserve">Hypoglykämie ist die häufigste Nebenwirkung, wenn der Bedarf die verabreichte Dosis den Bedarf überschreitet, außerdem Reaktionen an der Einstichstelle sowie Lipohypertrophie und Lipoatrophie </t>
  </si>
  <si>
    <t xml:space="preserve">bei vitaler Indikation keine; langwirksame Insulinanaloga sollten während einer SS auf humane Basalinsuline umgestellt werden </t>
  </si>
  <si>
    <t>Diabetes2.jpg</t>
  </si>
  <si>
    <t>Q9-VL_Metabolische_Erkrankungen_DIABETES_FOLIEN_WS2021-22.pdf</t>
  </si>
  <si>
    <t>Insulin - lispro</t>
  </si>
  <si>
    <r>
      <rPr>
        <sz val="11"/>
        <color rgb="FF000000"/>
        <rFont val="Calibri"/>
        <family val="2"/>
        <charset val="1"/>
      </rPr>
      <t xml:space="preserve">WM:
Bindung an den Insulin-Rezeptor --&gt; Autophosphorylierung --&gt; Translokation des Glucosetransporters Typ-4 (GLUT-4) zur Zelloberfläche sowie eine Glykogensynthese, die die Glucosespeicherung steigert
W:
</t>
    </r>
    <r>
      <rPr>
        <sz val="10"/>
        <color rgb="FF000000"/>
        <rFont val="Calibri"/>
        <family val="2"/>
        <charset val="1"/>
      </rPr>
      <t xml:space="preserve">anaboles Hormon, das den Blutzuckerspiegel durch Stimulierung der peripheren Glukoseaufnahme und der Hemmung der Gluconeogenese in der Leber senkt; außerdem hemmt es die Lipolyse in den Fettzellen, hemmt die Proteolyse und fördert die Proteinsynthese; schneller Wirkeintritt und kurze Wirkdauer
</t>
    </r>
  </si>
  <si>
    <t xml:space="preserve">Diabetes mellitus bei Erwachsenen, Jugendlichen und Kindern als Bolusinsulin im Rahmen einer intensivierten konventionellen Insuintherapie zu den Mahlzeiten </t>
  </si>
  <si>
    <t xml:space="preserve">NPH-Insulin </t>
  </si>
  <si>
    <r>
      <rPr>
        <sz val="11"/>
        <color rgb="FF000000"/>
        <rFont val="Calibri"/>
        <family val="2"/>
        <charset val="1"/>
      </rPr>
      <t xml:space="preserve">WM:
Bindung an den Insulin-Rezeptor --&gt; Autophosphorylierung --&gt; Translokation des Glucosetransporters Typ-4 (GLUT-4) zur Zelloberfläche sowie eine Glykogensynthese, die die Glucosespeicherung steigert
</t>
    </r>
    <r>
      <rPr>
        <sz val="10"/>
        <color rgb="FF000000"/>
        <rFont val="Calibri"/>
        <family val="2"/>
        <charset val="1"/>
      </rPr>
      <t xml:space="preserve">
W:
anaboles Hormon, das den Blutzuckerspiegel durch Stimulierung der peripheren Glukoseaufnahme und der Hemmung der Gluconeogenese in der Leber senkt; außerdem hemmt es die Lipolyse in den Fettzellen, hemmt die Proteolyse und fördert die Proteinsynthese; verzögerter Wirkeintritt und lange Wirkdauer </t>
    </r>
  </si>
  <si>
    <t xml:space="preserve">Diabetes mellitus bei Erwachsenen, Jugendlichen und Kindern als Mischinsulin in Kombination mit humanem Insulin und als Basalinsulin im Rahmen einer BOT </t>
  </si>
  <si>
    <t xml:space="preserve">es handelt sich um eine kristalline Suspension mit schwer löslichem Protamin, daher muss das Insulin vor Gebrauch geschüttelt werden; wegen des verzögerten Wirkeintrittes muss ein Spritz-Ess-Abstand  eingehalten werden </t>
  </si>
  <si>
    <t xml:space="preserve">Colestyramin </t>
  </si>
  <si>
    <t xml:space="preserve">metabolische Erkrankungen Lipidstoffwechsel  Physikalische Wirkprinzipien Anionen-Austauscher Hypercholesterinämie Q9 </t>
  </si>
  <si>
    <t xml:space="preserve">Physikalische Wirkprinzipien </t>
  </si>
  <si>
    <t>Anionen-Austauscher</t>
  </si>
  <si>
    <t xml:space="preserve">basisches Anionenaustauschharz, das nicht resorbierbar ist und Gallensäuren im Darm bindet, die dadurch vermehrt ausgeschieden werden -&gt; der enteropatische Kreislauf wird dadurch durchborchen und die körpereigene Produktion von Gallensäuren unter einem Mehrverbrauch von körpereigenem Cholesterin gesteigert -&gt; Plasma-Cholesterin-Spiegel sinkt. Zusätzlich wird der LDL-Rezeptor in der Leber aktiviert </t>
  </si>
  <si>
    <t xml:space="preserve">Kombinationstherapie mit Statinen bei Hypercholesterinämie und unzureichendem Erfolg einer Monotherapie mit Statinen bzw. deren Unverträglichkeit </t>
  </si>
  <si>
    <r>
      <rPr>
        <sz val="11"/>
        <color rgb="FF000000"/>
        <rFont val="Calibri"/>
        <family val="2"/>
        <charset val="1"/>
      </rPr>
      <t xml:space="preserve">vordergründig gastrointestinale Beschwerden; sehr häufig: Obstipation, </t>
    </r>
    <r>
      <rPr>
        <sz val="11"/>
        <color rgb="FF37761D"/>
        <rFont val="Calibri"/>
        <family val="2"/>
        <charset val="1"/>
      </rPr>
      <t xml:space="preserve">häufig: Übelkeit, Völlegefühl, Sodbrennen, Appetitlosigkeit, Dyspepsie, Brechreiz, Blähungen, Diarrhoen; glg.:Erbrechen </t>
    </r>
  </si>
  <si>
    <t xml:space="preserve">Darmverschluss oder Gallengangsverlegung, CAVE glz Therapie mit einem Statin -&gt; genaue Prüfung der KI nötig </t>
  </si>
  <si>
    <t xml:space="preserve">Bes.: verminderte Resorption von Diuretika, Digitalisglykosiden, L-Thyroxin oder Schilddrüsenhormonen bei zeitgleicher Einnahme mit Colestyramin </t>
  </si>
  <si>
    <t xml:space="preserve">Metformin </t>
  </si>
  <si>
    <t>metabolische Erkrankungen Antidiabetika Unbekannt Biguanide Diabetes mellitus Typ 2 Q9</t>
  </si>
  <si>
    <t>Unbekannt</t>
  </si>
  <si>
    <t>Biguanide</t>
  </si>
  <si>
    <t xml:space="preserve">senkt den basalen sowie auch den postprandialen Blutzuckerspiegel ohne Einwirkung auf die Insulinsekretion und birgt damit kein Hypoglykämiepotenzial; wirkt über die Hemmung der Gluconeogenese, vermindert die Glucoseresorption im Darm und verbessert die periphere Glucoseaufnahme </t>
  </si>
  <si>
    <t xml:space="preserve">bei Kindern ab 10 Jahren und Erwachsenen zur Therapie des Diabetes mellitus Typ 2 insb. bei übergewichtigen Patienten und bei unzureichender Wirksamkeit einer Lifestyle-Intervention als Monotherapie oder in Kombination mit anderen OAD oder Insulin </t>
  </si>
  <si>
    <t>sehr häufig: gastrointestinale Nebenwirkungen wie Übelkeit, Erbrechen und Appetitverlust, die häufig spontan sistieren; häufig: Geschmacksveränderungen</t>
  </si>
  <si>
    <t xml:space="preserve">Zustände der Azidose oder Hypoxie, schwere Niereninsuffizienz mit einer GFR unter 30 oder Situationen, die zur Beeinträchtigung der Nierenfunktion führen können, z.B. Dehydratation oder schwere Infektionen (CAVE: Laktatazidose), Leberinsuffizienz, Herzinsuffizienz, Alkoholabusus </t>
  </si>
  <si>
    <t xml:space="preserve">WW mit jodhaltigem Röntgenkontrastmittel, daher muss Metformin vor und bis 48h nach Kontrastmittel-Applikation abgesetzt werden. </t>
  </si>
  <si>
    <t>Q9-VL_Metabolische_Erkrankungen_DIABETES_SKRIPT_SS2021-22.pdf
Q9-VL_Metabolische_Erkrankungen_DIABETES_FOLIEN_WS2021-22.pdf</t>
  </si>
  <si>
    <t xml:space="preserve">Entacapon </t>
  </si>
  <si>
    <t xml:space="preserve">Neurologische und psychiatrische Erkrankungen </t>
  </si>
  <si>
    <t>Catecholamin-O-Methyltransferase-Inhibitoren (COMT-Inhibitoren) Dopaminerges System  Parkinson Q9</t>
  </si>
  <si>
    <t xml:space="preserve">Dopaminerges System </t>
  </si>
  <si>
    <t>Catecholamin-O-Methyltransferase-Inhibitoren (COMT-Inhibitoren)</t>
  </si>
  <si>
    <t>verhindert den Abbau von L-DOPA zu unwirksamen Metaboliten (3-Methyl-DOPA), dadurch erhöhter L-DOPA-Spiegel</t>
  </si>
  <si>
    <t>Q9 Vorlesungsskript</t>
  </si>
  <si>
    <t>motorische End-of-dose Wirkungsfluktuationen bei Parkinson-Patienten unter L-DOPA-Therapie (nur bei unzureichender L-DOPA-Antwort)</t>
  </si>
  <si>
    <r>
      <rPr>
        <sz val="11"/>
        <color rgb="FF000000"/>
        <rFont val="Calibri"/>
        <family val="2"/>
        <charset val="1"/>
      </rPr>
      <t xml:space="preserve">Sehr häufig: Dyskinesie, Übelkeit; häufig: Diarrhoe, </t>
    </r>
    <r>
      <rPr>
        <sz val="11"/>
        <color rgb="FF01FD55"/>
        <rFont val="Calibri"/>
        <family val="2"/>
        <charset val="1"/>
      </rPr>
      <t>Bauchschmerzen, Schlafstörungen, Halluzinationen, Angina pectoris; UAW sind überwiegend auf erhöhte Spiegel von L-Dopa und Dopamin zurückzuführen</t>
    </r>
  </si>
  <si>
    <t xml:space="preserve">Leberinsuffizienz, Keine Kombination mit MAO-Hemmern (außer Rasagilin) </t>
  </si>
  <si>
    <r>
      <rPr>
        <sz val="11"/>
        <color rgb="FF01FD55"/>
        <rFont val="Calibri"/>
        <family val="2"/>
        <charset val="1"/>
      </rPr>
      <t xml:space="preserve">Einschätzung: Gleicht Fluktuationen sehr gut aus; </t>
    </r>
    <r>
      <rPr>
        <sz val="11"/>
        <color rgb="FF000000"/>
        <rFont val="Calibri"/>
        <family val="2"/>
        <charset val="1"/>
      </rPr>
      <t>Entacapon ist auch als fixe Kombination mit L-Dopa/DDI erhältlich; Entacapon und Opicapon wirken nur peripher, Tolcapon peripher und zentral</t>
    </r>
    <r>
      <rPr>
        <sz val="11"/>
        <color rgb="FF01FD55"/>
        <rFont val="Calibri"/>
        <family val="2"/>
        <charset val="1"/>
      </rPr>
      <t xml:space="preserve"> (aber: Hepatotoxizität unter Tolcapon → Mittel der 2. Wahl)</t>
    </r>
  </si>
  <si>
    <t>Q9 Vorlesungsskript, Q9-Seminarskript</t>
  </si>
  <si>
    <t>Antiparkinsonmittel.jpg</t>
  </si>
  <si>
    <t xml:space="preserve">Mutschler Arzneimittelwirkungen, 11. Auflage, S. 331, Abb. 21.2
</t>
  </si>
  <si>
    <t>L-DOPA+ Benserazid</t>
  </si>
  <si>
    <t>Dopamin-Prodrugs + Dopa-Decarboxylase-Inhibitoren Dopaminerges System  Parkinson Q9</t>
  </si>
  <si>
    <t xml:space="preserve">Dopamin-Prodrugs + Dopa-Decarboxylase-Inhibitoren </t>
  </si>
  <si>
    <r>
      <rPr>
        <sz val="11"/>
        <color rgb="FF000000"/>
        <rFont val="Calibri"/>
        <family val="2"/>
        <charset val="1"/>
      </rPr>
      <t xml:space="preserve">Wirkmechanismus/Wirkung, Indikationen, Kontraindikationen, UAW, Resorption, </t>
    </r>
    <r>
      <rPr>
        <sz val="11"/>
        <color rgb="FF548235"/>
        <rFont val="Calibri"/>
        <charset val="1"/>
      </rPr>
      <t xml:space="preserve">Besonderheiten </t>
    </r>
  </si>
  <si>
    <t>Dopamin-Prodrugs und Decarboxylase-Inhibitoren</t>
  </si>
  <si>
    <r>
      <rPr>
        <sz val="11"/>
        <color rgb="FF000000"/>
        <rFont val="Calibri"/>
        <family val="2"/>
        <charset val="1"/>
      </rPr>
      <t>Substitution von Dopamin und Hemmung der peripheren Decarboxylierung (Benserazid nicht hirnschrankengängig); wirkt am besten auf Akinese &amp; Rigor,</t>
    </r>
    <r>
      <rPr>
        <sz val="11"/>
        <color rgb="FF385724"/>
        <rFont val="Calibri"/>
        <charset val="1"/>
      </rPr>
      <t xml:space="preserve"> </t>
    </r>
    <r>
      <rPr>
        <sz val="11"/>
        <color rgb="FF548235"/>
        <rFont val="Calibri"/>
        <charset val="1"/>
      </rPr>
      <t xml:space="preserve">zentrale Wirkung über D1 und D2 -Rezeptoren, Wirkungsfluktuationen bei längerer Therapie </t>
    </r>
  </si>
  <si>
    <t xml:space="preserve">idiopathisches Parkinson-Syndrom in frühem und spätem Stadium </t>
  </si>
  <si>
    <t xml:space="preserve">Zentral: psychische Symptome wie Halluzinationen/Psychosen, Peripher: Gastrointestinale Symptome, Orthostase und Arrhythmien </t>
  </si>
  <si>
    <r>
      <rPr>
        <sz val="11"/>
        <color rgb="FF000000"/>
        <rFont val="Calibri"/>
        <family val="2"/>
        <charset val="1"/>
      </rPr>
      <t>Psychosen; Reserpin und nicht-selektive MAO-Hemmer,</t>
    </r>
    <r>
      <rPr>
        <sz val="11"/>
        <color rgb="FF01FD55"/>
        <rFont val="Calibri"/>
        <family val="2"/>
        <charset val="1"/>
      </rPr>
      <t xml:space="preserve"> CAVE bei Herzerkrankungen, Hyperthyreose und GI-Ulcera </t>
    </r>
  </si>
  <si>
    <t xml:space="preserve">Besondere Applikationsformen: bei Therapieresistenz Applikation über duodenale Sonde; im Spätstadium und bei nächtlicher Symptomatik retardierte Formen </t>
  </si>
  <si>
    <t>Antiparkinsonmittel.jpg
Parkinson.jpg</t>
  </si>
  <si>
    <t>Mutschler Arzneimittelwirkungen, 11. Auflage, S. 331, Abb. 21.2
Q9-VL_Parkinson-Syndrom, Anfallsleiden, WS2122_27Sep2021.pdf</t>
  </si>
  <si>
    <t>Pramipexol</t>
  </si>
  <si>
    <t>Dopamin-2-Rezeptor-Agonisten Dopaminerges System  Parkinson Q9</t>
  </si>
  <si>
    <t>Dopamin-2-Rezeptor-Agonisten</t>
  </si>
  <si>
    <t xml:space="preserve">Non-Ergot-Derivate </t>
  </si>
  <si>
    <t>Direkter Dopamin-Agonismus überwiegend an D2
W: Linderung der typischen Symptome wie Bewegungsarmut, Muskelsteifigkeit und Zittern</t>
  </si>
  <si>
    <t xml:space="preserve">Morbus Parkinson, frühes und fortgeschrittenes Stadium als Mono- und Kombinationstherapie </t>
  </si>
  <si>
    <t>Wichtige UAW: Impulskontrollstörung, Tagesschläfrigkeit, Alpträume, Halluzinationen, Psychosen, Gastrointestinale Nebenwirkungen (Obstipation, Diarrhö, Übelkeit...) Hypotension, Beinödeme, HRST</t>
  </si>
  <si>
    <t>Kognitive Leistungseinschränkung, Demenz, Psychosen</t>
  </si>
  <si>
    <r>
      <rPr>
        <sz val="11"/>
        <color rgb="FF01FD55"/>
        <rFont val="Calibri"/>
        <family val="2"/>
        <charset val="1"/>
      </rPr>
      <t xml:space="preserve">Bewertung: gute Wirksamkeit, kaum Fluktuationen, evtl. neuroprotektiv; </t>
    </r>
    <r>
      <rPr>
        <sz val="11"/>
        <color rgb="FF000000"/>
        <rFont val="Calibri"/>
        <family val="2"/>
        <charset val="1"/>
      </rPr>
      <t>Nachteile: schlechtere Verträglichkeit v.a. bei Älteren; relevante UAW, z.B. Somnolenz, Sucht</t>
    </r>
  </si>
  <si>
    <t xml:space="preserve">Amantadin </t>
  </si>
  <si>
    <t>indirekte Dopaminmimetika Dopaminerges System  Parkinson Q9</t>
  </si>
  <si>
    <t>indirekte Dopaminmimetika</t>
  </si>
  <si>
    <r>
      <rPr>
        <sz val="11"/>
        <color rgb="FF000000"/>
        <rFont val="Calibri"/>
        <family val="2"/>
        <charset val="1"/>
      </rPr>
      <t xml:space="preserve">Wirkmechanismus/Wirkung, Indikationen, Kontraindikationen, UAW, Resorption, </t>
    </r>
    <r>
      <rPr>
        <sz val="11"/>
        <color rgb="FF548235"/>
        <rFont val="Calibri"/>
        <charset val="1"/>
      </rPr>
      <t xml:space="preserve">Besondere Patientengruppen, Elimination  </t>
    </r>
  </si>
  <si>
    <r>
      <rPr>
        <sz val="11"/>
        <color rgb="FF000000"/>
        <rFont val="Calibri"/>
        <family val="2"/>
        <charset val="1"/>
      </rPr>
      <t xml:space="preserve">NMDA-Antagonismus; Anticholinerg wirksam </t>
    </r>
    <r>
      <rPr>
        <sz val="11"/>
        <color rgb="FF548235"/>
        <rFont val="Calibri"/>
        <charset val="1"/>
      </rPr>
      <t>Wiederaufnahmehemmung von Katecholaminen, postsynaptische Modulation von Dopaminrezeptoren</t>
    </r>
  </si>
  <si>
    <t>Q9 Vorlesungsskript
https://flexikon.doccheck.com/de/Amantadin?utm_source=www.doccheck.flexikon&amp;utm_medium=web&amp;utm_campaign=DC%2BSearch#</t>
  </si>
  <si>
    <t>2. Wahl Parkinson-Syndrom in frühem Stadium, akinetische Krisen und Dyskinesien unter L-DOPA, Influenza Typ A</t>
  </si>
  <si>
    <t xml:space="preserve">Psychiatrische UAW (Schlafstörungen, Halluzinationen, Psychosen, Unruhe), Harnretention → KI BPH, Schwindel, orthostatische Dysregulation, Übelkeit, Ödeme insb. Untere Extremität </t>
  </si>
  <si>
    <r>
      <rPr>
        <sz val="11"/>
        <color rgb="FF000000"/>
        <rFont val="Calibri"/>
        <family val="2"/>
        <charset val="1"/>
      </rPr>
      <t>Niereninsuffizienz,</t>
    </r>
    <r>
      <rPr>
        <sz val="11"/>
        <color rgb="FF01FD55"/>
        <rFont val="Calibri"/>
        <family val="2"/>
        <charset val="1"/>
      </rPr>
      <t xml:space="preserve"> Kardiomyopathien, Rhythmusstörungen, BPH, Engwinkelglaukom, Verwirrtheitszustände und Psychosen</t>
    </r>
  </si>
  <si>
    <t>Besondere Patientengruppe: CAVE ältere Patienten aufgrund von anticholinergen und halluzinogenen Nebenwirkungen -&gt; v.a. bei Niereninsuffizienz gefährlich, da &gt;90% über Niere ausgeschieden werden -&gt; bei NI Kumulation und Verstärkung der UAW</t>
  </si>
  <si>
    <t xml:space="preserve">Methylphenidat </t>
  </si>
  <si>
    <t>indirekte Dopaminmimetika Dopaminerges System ADHS</t>
  </si>
  <si>
    <r>
      <rPr>
        <sz val="11"/>
        <color rgb="FF000000"/>
        <rFont val="Calibri"/>
        <family val="2"/>
        <charset val="1"/>
      </rPr>
      <t xml:space="preserve">Wirkmechanismus/Wirkung, Indikationen, Kontraindikationen, UAW, Resorption, </t>
    </r>
    <r>
      <rPr>
        <sz val="11"/>
        <color rgb="FF548235"/>
        <rFont val="Calibri"/>
        <charset val="1"/>
      </rPr>
      <t xml:space="preserve">Missbrauch </t>
    </r>
  </si>
  <si>
    <t>Stimulanz des zentralen Nervensystems, Gruppe der Amphetamine, wirkt sympathomimetisch (u.a. durch Erhöhung der Neurotransmitterkonzentration in der Präsynapse durch Wiederaufnahmehemmung)</t>
  </si>
  <si>
    <t xml:space="preserve">Einsatz bei ADHS und Narkolepsie </t>
  </si>
  <si>
    <r>
      <rPr>
        <sz val="11"/>
        <color rgb="FF000000"/>
        <rFont val="Calibri"/>
        <family val="2"/>
        <charset val="1"/>
      </rPr>
      <t xml:space="preserve">häufigste UAW: Psychiatrisch (Nervosität,Schlaflosigkeit,Tics, Psychosen, Halluzinationen, Depression..), Tachykardien, HRST, Gastrointest. Beschwerden </t>
    </r>
    <r>
      <rPr>
        <sz val="11"/>
        <color rgb="FF01FD55"/>
        <rFont val="Calibri"/>
        <family val="2"/>
        <charset val="1"/>
      </rPr>
      <t xml:space="preserve">wie Bauchschmerzen, Erbrechen, Appetitlosigkiet sowie Hautausschlag und Haarausfall </t>
    </r>
    <r>
      <rPr>
        <sz val="11"/>
        <color rgb="FF000000"/>
        <rFont val="Calibri"/>
        <family val="2"/>
        <charset val="1"/>
      </rPr>
      <t xml:space="preserve"> </t>
    </r>
  </si>
  <si>
    <t xml:space="preserve">Hyperthyreose, Glaukom, Psychosen, Suchterkrankungen, Phäochromozytom </t>
  </si>
  <si>
    <t xml:space="preserve">Missbrauch: weit verbreitet als Aufputschmittel und Partydroge, auch bei Studierenden zur Leistungssteigerung verbreitet (wirkt ähnlich wie Kokain leistungssteigernd, euphorisierend und führt zu einem High)  </t>
  </si>
  <si>
    <t xml:space="preserve">Dopamin </t>
  </si>
  <si>
    <t>Dopamin-2-Rezeptor-Agonisten Dopaminerges System Parkinson Q9</t>
  </si>
  <si>
    <t>Wirkmechanismus/Wirkung, Indikationen, Kontraindikationen, UAW, Resorption</t>
  </si>
  <si>
    <t xml:space="preserve">Agonist an den Dopaminrezeptoren D1-D5, sympathomimetisch </t>
  </si>
  <si>
    <t>Parkinson</t>
  </si>
  <si>
    <t xml:space="preserve">bei Überproduktion/Überdosis Tachykardie, Hypertonie, Schweißausbrüche Kopfschmerzen möglich </t>
  </si>
  <si>
    <t xml:space="preserve">Phäochromozytom (Gefahr von zu viel Dopamin) </t>
  </si>
  <si>
    <t xml:space="preserve">Rasagilin </t>
  </si>
  <si>
    <t>Monoaminoxidase-B-Hemmer Parkinson Dopaminerges System Q9</t>
  </si>
  <si>
    <t>Monoaminoxidase-B-Hemmer</t>
  </si>
  <si>
    <t>irreversibler, selektiver Monoaminoxidase-B-Hemmer -&gt; verhindert den Dopaminabbau und erhöht so dessen Konzentration im synaptischen Spalt</t>
  </si>
  <si>
    <r>
      <rPr>
        <sz val="11"/>
        <color rgb="FF000000"/>
        <rFont val="Calibri"/>
        <family val="2"/>
        <charset val="1"/>
      </rPr>
      <t xml:space="preserve">Parkinson: Monotherapie in frühem Stadium und milder Verlaufsform;   Zusatztherapie mit L-Dopa bei End-of-Dose-Fluktuationen </t>
    </r>
    <r>
      <rPr>
        <sz val="11"/>
        <color rgb="FF548235"/>
        <rFont val="Calibri"/>
        <charset val="1"/>
      </rPr>
      <t>(bei Fluktuationen Rasagilin ggf. auch mit COMT-Hemmern kombinierbar)</t>
    </r>
    <r>
      <rPr>
        <sz val="11"/>
        <color rgb="FF000000"/>
        <rFont val="Calibri"/>
        <family val="2"/>
        <charset val="1"/>
      </rPr>
      <t xml:space="preserve"> </t>
    </r>
  </si>
  <si>
    <t xml:space="preserve">Verstärkt die Nebenwirkungen von L-DOPA; Sehr häufig: Kopfschmerzen, Depressionen und Halluzinationen, häufig: AP-Beschwerden </t>
  </si>
  <si>
    <r>
      <rPr>
        <sz val="11"/>
        <color rgb="FF000000"/>
        <rFont val="Calibri"/>
        <family val="2"/>
        <charset val="1"/>
      </rPr>
      <t>CAVE Serotonin-Syndrom bei Kombination mit serotonergen Substanzen</t>
    </r>
    <r>
      <rPr>
        <sz val="11"/>
        <color rgb="FF01FD55"/>
        <rFont val="Calibri"/>
        <family val="2"/>
        <charset val="1"/>
      </rPr>
      <t>: SSRI, SNRI, Serotonin-Agonisten (Triptane), Trizyklische Antidepressiva, Sympathomimetika, Opioide wie Pethidin, Tramadol und Johanniskraut</t>
    </r>
    <r>
      <rPr>
        <sz val="11"/>
        <color rgb="FF000000"/>
        <rFont val="Calibri"/>
        <family val="2"/>
        <charset val="1"/>
      </rPr>
      <t xml:space="preserve"> </t>
    </r>
  </si>
  <si>
    <t xml:space="preserve">Ethosuximid </t>
  </si>
  <si>
    <t>Calciumkanalblocker Ionenkanäle Epilepsie Q9</t>
  </si>
  <si>
    <t xml:space="preserve">Ionenkanäle </t>
  </si>
  <si>
    <t xml:space="preserve">Calciumkanalblocker </t>
  </si>
  <si>
    <r>
      <rPr>
        <sz val="11"/>
        <color rgb="FF000000"/>
        <rFont val="Calibri"/>
        <family val="2"/>
        <charset val="1"/>
      </rPr>
      <t xml:space="preserve">Multiple Wirkmechanismen, </t>
    </r>
    <r>
      <rPr>
        <sz val="11"/>
        <color rgb="FF548235"/>
        <rFont val="Calibri"/>
        <charset val="1"/>
      </rPr>
      <t xml:space="preserve">antiepileptische Wirkung wohl durch die Hemmung von T-Typ Calciumkanälen in Thalamus
</t>
    </r>
    <r>
      <rPr>
        <sz val="11"/>
        <color rgb="FF000000"/>
        <rFont val="Calibri"/>
        <charset val="1"/>
      </rPr>
      <t>antiepileptisch</t>
    </r>
  </si>
  <si>
    <t xml:space="preserve">Epilepsie: 1. Wahl bei Absencen </t>
  </si>
  <si>
    <t xml:space="preserve">Häufig bis sehr häufig: Singultus, Übelkeit, Erbrechen, Abdominalschmerzen </t>
  </si>
  <si>
    <t>Grand-mal-Epilepsie, gleichzeitige Einnahme von Arzneistoffen, die mit dem Cytochrom P450-System interagieren</t>
  </si>
  <si>
    <t>Keine Interaktionen mit hormonellen Antikonzeptiva</t>
  </si>
  <si>
    <t>Antiepileptika.jpg
Epilepsie.jpg</t>
  </si>
  <si>
    <t xml:space="preserve">Mutschler Arzneimittelwirkungen, 11. Auflage, S. 318, Abb. 20.2
Zeitschrift für Epileptologie 31, 272-281 (2018)
</t>
  </si>
  <si>
    <t xml:space="preserve">Pregabalin </t>
  </si>
  <si>
    <t>Calciumkanalblocker Ionenkanäle Epilepsie</t>
  </si>
  <si>
    <t>Bindet an die Untereinheit von spannungsabhängigen Calciumkanälen im ZNS und verringert dabei deren Erregbarkeit (Analogon von GABA)</t>
  </si>
  <si>
    <t xml:space="preserve">2. Wahl bei fokalen Epilepsien, positive Effekte auf Schlaf und Kognition, Anwendung auch bei neuropathischen Schmerzen und generalisierten Angststörungen </t>
  </si>
  <si>
    <t xml:space="preserve">Q9 Vorlesungsskript; Fachinfo </t>
  </si>
  <si>
    <r>
      <rPr>
        <sz val="11"/>
        <color rgb="FF000000"/>
        <rFont val="Calibri"/>
        <family val="2"/>
        <charset val="1"/>
      </rPr>
      <t xml:space="preserve">Häufig bis sehr häufig: Gesteigerter Appetit/Gewichtszunahme, Nasopharyngitis, psychiatrische Erkrankungen (sexuelle Beeinträchtigung, Euphorie, Reizbarkeit, Benommenheit), </t>
    </r>
    <r>
      <rPr>
        <sz val="11"/>
        <color rgb="FF01FD55"/>
        <rFont val="Calibri"/>
        <family val="2"/>
        <charset val="1"/>
      </rPr>
      <t>Kopfschmerzen, gastrointestinale UAW wie Übelkeit, Erbrechen Blähungen, Probleme an den Augen und Ohren, sowie Störungen von Gleichgewicht, Gefühl und Aufmerksamkeit, Muskuläre Beschwerden, Ödeme</t>
    </r>
  </si>
  <si>
    <t>Q9 Vorlesungsskript, Fachinfo</t>
  </si>
  <si>
    <r>
      <rPr>
        <sz val="11"/>
        <color rgb="FF000000"/>
        <rFont val="Calibri"/>
        <family val="2"/>
        <charset val="1"/>
      </rPr>
      <t xml:space="preserve">CAVE eingeschränkte Nierenfunktion -&gt; Dosisreduktion nötig </t>
    </r>
    <r>
      <rPr>
        <sz val="11"/>
        <color rgb="FF01FD55"/>
        <rFont val="Calibri"/>
        <family val="2"/>
        <charset val="1"/>
      </rPr>
      <t>(Pregabalin wird überwiegend unverändert renal ausgeschieden)</t>
    </r>
  </si>
  <si>
    <t xml:space="preserve">Keine Interaktionen mit hormonellen Antikonzeptiva, Missbrauchspotential </t>
  </si>
  <si>
    <t xml:space="preserve">Carbamazepin </t>
  </si>
  <si>
    <t>Natriumkanalblocker Ionenkanäle Epilepsie</t>
  </si>
  <si>
    <t xml:space="preserve">Natriumkanalblocker </t>
  </si>
  <si>
    <r>
      <rPr>
        <sz val="11"/>
        <color rgb="FF000000"/>
        <rFont val="Calibri"/>
        <family val="2"/>
        <charset val="1"/>
      </rPr>
      <t xml:space="preserve">Wirkmechanismus/Wirkung, Indikationen, Kontraindikationen, UAW, Resorption, </t>
    </r>
    <r>
      <rPr>
        <sz val="11"/>
        <color rgb="FF000000"/>
        <rFont val="Calibri"/>
        <charset val="1"/>
      </rPr>
      <t>Besonderheiten</t>
    </r>
    <r>
      <rPr>
        <sz val="11"/>
        <color rgb="FF548235"/>
        <rFont val="Calibri"/>
        <charset val="1"/>
      </rPr>
      <t xml:space="preserve"> </t>
    </r>
  </si>
  <si>
    <t xml:space="preserve">Die Wirkung von Carbamazepin beruht auf der Hemmung von spannungsabhängigen Natriumkanälen der Nervenzellen. Carbamazepin stabilisiert die Natriumkanäle im inaktiven Zustand und verringert so die Erregbarkeit der Nervenzelle. Zudem vermutet man eine Verstärkung von Auswärtsströmen an spannungsabhängigen Kaliumkanälen sowie eine Inhibition der Glutamatfreisetzung. </t>
  </si>
  <si>
    <t xml:space="preserve">Behandlung von verschiedenen Formen von Epilepsie und Neuralgien </t>
  </si>
  <si>
    <t xml:space="preserve">Blutbildveränderungen, Hyponatriämie, Somnolenz, Sedierung, Schwindel, Ataxie, allergische Hautreaktionen, Appetitlosigkeit, Leberwertveränderungen </t>
  </si>
  <si>
    <t xml:space="preserve">Geschädigtes Knochenmark, AV-Block, hepatische Porphyrie, glz. Behandlung mit MAO-Hemmern oder Voriconazol </t>
  </si>
  <si>
    <t>CYP-Induktion → Interaktionen mit vielen Medikamenten, u.a. verminderter Konzeptionsschutz von oralen Kontrazeptiva</t>
  </si>
  <si>
    <t xml:space="preserve">Lamotrigin </t>
  </si>
  <si>
    <t xml:space="preserve"> blockiert Natrium- und spannungsabhängige Calciumkanäle der Nervenzellen und verhindert die Freisetzung der erregenden Neurotransmitter Aspartat und Glutamat</t>
  </si>
  <si>
    <r>
      <rPr>
        <sz val="11"/>
        <color rgb="FF000000"/>
        <rFont val="Calibri"/>
        <family val="2"/>
        <charset val="1"/>
      </rPr>
      <t>partielle und generalisierte Epilepsie Formen</t>
    </r>
    <r>
      <rPr>
        <sz val="11"/>
        <color rgb="FF548235"/>
        <rFont val="Calibri"/>
        <charset val="1"/>
      </rPr>
      <t xml:space="preserve"> (insb. Lennox-Gastaut-Syndrom), </t>
    </r>
    <r>
      <rPr>
        <sz val="11"/>
        <rFont val="Calibri"/>
        <charset val="1"/>
      </rPr>
      <t xml:space="preserve">depressive Episode bei Bipolarer Störung </t>
    </r>
  </si>
  <si>
    <r>
      <rPr>
        <sz val="11"/>
        <color rgb="FF000000"/>
        <rFont val="Calibri"/>
        <family val="2"/>
        <charset val="1"/>
      </rPr>
      <t xml:space="preserve">Im Allgemeinen gut verträglich, deutlich besser verträglich als Carbamazepin, </t>
    </r>
    <r>
      <rPr>
        <sz val="11"/>
        <color rgb="FF01FD55"/>
        <rFont val="Calibri"/>
        <family val="2"/>
        <charset val="1"/>
      </rPr>
      <t>sehr häufig/häufig: Aggressivität, Reizbarkeit, Kopfschmerzen, Somnolenz, Schwindel, Agitiertheit, Gastrointestinale UAW (Diarrhoe, Erbrechen..) Hautausschlag, Arthralgien, Müdigkeit</t>
    </r>
  </si>
  <si>
    <t>Keine besonderen KI</t>
  </si>
  <si>
    <t xml:space="preserve">Phenytoin </t>
  </si>
  <si>
    <t>Natriumkanalblocker Ionenkanäle Epilepsie Q9</t>
  </si>
  <si>
    <t xml:space="preserve"> Durch die Blockierung der Natriumkanäle und der Verzögerung ihrer Erholung wird der schnelle Einstrom von Natrium verhindert - somit steigt das schnelle Aktionspotenzial weniger schnell an und die Dauer des Aktionspotenzials wird vermindert. </t>
  </si>
  <si>
    <t>Epilepsie: fokal eingeleitete generalisierte und Partialanfälle, Prophylaxe von Krampfanfällen, neurogene Schmerzen, Herzrhythmusstörungen (Antiarrhythmikum Klasse Ib)</t>
  </si>
  <si>
    <t>Fachinfo, Doccheck</t>
  </si>
  <si>
    <t xml:space="preserve">Bei langzeitiger Therapie irreversible Kleinhirnatrophie oder Polyneuropathie möglich, HRST, glg Gingivahypperplasie </t>
  </si>
  <si>
    <t xml:space="preserve">Schwere Schädigung der Blutzellen oder des Knochenmarks, höhergradiger AV-Block, 3 Mo nach Myokardinfarkt oder bei eingeschränkter Herzfunktion </t>
  </si>
  <si>
    <t xml:space="preserve">Valproat </t>
  </si>
  <si>
    <t>Natriumkanalblocker Ionenkanäle  Epilepsie Q9</t>
  </si>
  <si>
    <t xml:space="preserve">Wirkmechanismus/Wirkung, Indikationen, Kontraindikationen, UAW, Besonderheiten </t>
  </si>
  <si>
    <t xml:space="preserve">Erhöhung der GABA-vermittelten Inhibition durch einen präsynaptischen Effekt auf den GABA-Metabolismus und/oder eine Wirkung auf die Ionenkanälchen der Postsynapse </t>
  </si>
  <si>
    <t>Komplexe und fokale Epilepsieformen (1. Wahl bei generalisierter Form), auch als Kombitherapie und im Status epilepticus bei unzureichender Wirkung von Benzos</t>
  </si>
  <si>
    <t xml:space="preserve">Blutbildveränderungen, Hyperammonämie, Gewichtszunahme, Tremor, extrapyramidale Störungen Schwindel, Kopfschmerzen, Taubheit, Blutungen, Übelkeit, Leberschädigung, Harninkontinenz, Dysmenorrhö </t>
  </si>
  <si>
    <t xml:space="preserve">Leberfunktionsstörungen oder Porphyrie, Störungen des Harnstoffzyklus oder der Blutgerinnung, mitochondriale Erkrankungen, Schwangerschaft (wirkt teratogen) </t>
  </si>
  <si>
    <t xml:space="preserve">TDM, Eindosierung bis zu einem ausreichenden Serumspiegel nötig </t>
  </si>
  <si>
    <t xml:space="preserve">Phenobarbital </t>
  </si>
  <si>
    <t>Barbiturate GABAerges System  Epilepsie Q9</t>
  </si>
  <si>
    <t xml:space="preserve">GABAerges System </t>
  </si>
  <si>
    <t>Barbiturate</t>
  </si>
  <si>
    <t xml:space="preserve">Allosterische Interaktion mit dem GABA-Rezeptor→ verstärkter Chloridtransport, Hyperpolarisation </t>
  </si>
  <si>
    <t xml:space="preserve">Verschiedene Formen der Epilepsie </t>
  </si>
  <si>
    <t xml:space="preserve">Sehr häufig: Verwirrtheit, paradoxe Erregbarkeit, Schwindel, Kopfschmerzen, Ataxie, Müdigkeit, Störungen der Sexualfunktion </t>
  </si>
  <si>
    <t xml:space="preserve">Bewusstseinstrübungen durch Alkohol, Schmerz- oder Schlafmittel </t>
  </si>
  <si>
    <t>Pyridostigmin </t>
  </si>
  <si>
    <t> </t>
  </si>
  <si>
    <t>Cholinerges System Acetylcholinesterase-Inhibitoren  Myasthenia gravis </t>
  </si>
  <si>
    <t>Cholinerges System</t>
  </si>
  <si>
    <t>Acetylcholinesterase-Inhibitoren </t>
  </si>
  <si>
    <t>Hemmt die Cholinesterase und wirkt damit indirekt parasympathomimetisch (verlängerte Acetylcholinwirkung)</t>
  </si>
  <si>
    <t>Myasthenia gravis, Myasthenisches Syndrom (Lambert-Eaton)</t>
  </si>
  <si>
    <t>Bradykarde HRST, erhöhte Bronchialsekretion, Erkrankungen des Verdauungstraktes, verstärkter Harndrang, Muskelprobleme, Speichel- und Tränenfluss</t>
  </si>
  <si>
    <t>Mechanische Verschlüsse der Verdauungs- und Harnwege, bei erhöhtem Tonus der Bronchialmuskulatur, Entzündungen des Auges, in der Stillzeit (muttermilchgängig)</t>
  </si>
  <si>
    <t>Wurde beim Militär zur Prophylaxe gegen chemische Kampfstoffe mit Cholinesterase-hemmender Wirkung eingesetzt.</t>
  </si>
  <si>
    <t>Parasympathomimetika.jpg</t>
  </si>
  <si>
    <t>https://www.pharmawiki.ch/wiki/index.php?wiki=pyridostigmin</t>
  </si>
  <si>
    <t xml:space="preserve">Topiramat </t>
  </si>
  <si>
    <t>Glutamaterges System Glutamatfreisetzungsinhibitoren  Epilepsie Q9</t>
  </si>
  <si>
    <t xml:space="preserve">Glutamaterges System </t>
  </si>
  <si>
    <t xml:space="preserve">Glutamatfreisetzungsinhibitoren </t>
  </si>
  <si>
    <t xml:space="preserve">Mulitple Wirkmechanismen über GABA, Glutamat, Carboanhydrase und Natriumkanäle </t>
  </si>
  <si>
    <t xml:space="preserve">Einsatz bei Generalisierten, fokalen Epilepsien sowie im Status epilepticus </t>
  </si>
  <si>
    <t>Müdigkeit, Parästhesien, Gewichtsverlust oder - seltener -zunahme, teilw. Reversible Sprachstörung</t>
  </si>
  <si>
    <t xml:space="preserve">Schwangerschaft (Teratogen) </t>
  </si>
  <si>
    <t>Botulinum-Neurotoxin </t>
  </si>
  <si>
    <t>Cholinerges System Acetylcholin-Freisetzungsinhibitoren Spastiken</t>
  </si>
  <si>
    <t>Acetylcholin-Freisetzungsinhibitoren</t>
  </si>
  <si>
    <r>
      <rPr>
        <sz val="11"/>
        <color rgb="FF000000"/>
        <rFont val="Calibri"/>
        <family val="2"/>
        <charset val="1"/>
      </rPr>
      <t xml:space="preserve">Wirkmechanismus/Wirkung, Indikationen, Kontraindikationen, UAW, </t>
    </r>
    <r>
      <rPr>
        <sz val="11"/>
        <color rgb="FF6AA84F"/>
        <rFont val="Calibri"/>
        <family val="2"/>
        <charset val="1"/>
      </rPr>
      <t>Besonderheiten</t>
    </r>
    <r>
      <rPr>
        <sz val="11"/>
        <color rgb="FF000000"/>
        <rFont val="Calibri"/>
        <family val="2"/>
        <charset val="1"/>
      </rPr>
      <t xml:space="preserve"> </t>
    </r>
  </si>
  <si>
    <t>Blockiert durch Spaltung des SNAP-25 die periphere Acetylcholin-Freisetzung an der Präsynapse → Muskellähmung</t>
  </si>
  <si>
    <t>Fokale Spastiken (z.B. Blepharospasmus) chronische Migräne, Überaktive Blase, Detrusorhyperaktivität, Hyperhidosis axillaris, kosmetische Anwendung zur Faltenunterspritzung</t>
  </si>
  <si>
    <t>häufig: Exanthem, lokale Verletzung/Reizungen, bei Indikation zervikale Dystonien sehr häufig Dysphagie, Muskelschwäche und Schmerzen, bei urol. Ind. Sehr häufig Dysurie, HWI und Harnretention</t>
  </si>
  <si>
    <t>In Abhängigkeit von der Injektionsstelle, z.B. Infektion an der Injektionsstelle, akuter HWI</t>
  </si>
  <si>
    <t>Nach einer therapeutischen Injektion baut sich die Wirkung langsam auf und erreicht – je nach Indikation und Dosis – nach etwa zehn Tagen ihren Höhepunkt. Nach zwei bis sechs Monaten ist die Neuaussprossung der Nervenenden beendet, wodurch die Muskeln wieder aktiviert werden können. Die Applikation muss daher in regelmäßigen Abständen wiederholt werden .</t>
  </si>
  <si>
    <t>Muskelrelaxanzien.jpg</t>
  </si>
  <si>
    <t xml:space="preserve">Mutschler Arzneimittelwirkungen, 11. Auflage, S. 309, Abb. 19.1
</t>
  </si>
  <si>
    <t xml:space="preserve">Biperiden </t>
  </si>
  <si>
    <t>Cholinerges System Muskarinische Acetylcholinrezptor-Antagonisten  Parkinson, Bewegungsstörungen Q9</t>
  </si>
  <si>
    <t xml:space="preserve">Muskarinische Acetylcholinrezptor-Antagonisten </t>
  </si>
  <si>
    <t xml:space="preserve">Vorwiegend zentral wirksames Anticholinergikum </t>
  </si>
  <si>
    <t>Tremordominante Parkinsonsyndrome, sowie Arzneimittelinduzierter Parkinsonismus und EPMS</t>
  </si>
  <si>
    <t xml:space="preserve">Anticholinerge UAW: Kognitionsstörungen, Verwirrtheit, Delir, Schwindel, Kopfschmerzen, Mundtrockenheit, Obstipation, Harnverhalt, Akkommodationsstörungen, Tachykardie, Engwinkelglaukom </t>
  </si>
  <si>
    <t xml:space="preserve">Engwinkelglaukom, GI-Stenosen, (Sub-) Ileus, Gedächtnisstörungen </t>
  </si>
  <si>
    <t>Gute Tremorwirksamkeit bei insgesamt schlechterer Wirksamkeit; Dilemma bei idiopathischem Parkinson-Syndrom: fördert Demenzentwicklung; (Demenz bei Parkinson mit Acetycholinesteraseinhibitoren therapiert)</t>
  </si>
  <si>
    <t>Mirtazapin </t>
  </si>
  <si>
    <t>Adrenerges System Alpha-2-Adrenozeptor-Antagonisten Depression Q9</t>
  </si>
  <si>
    <t>Alpha-2-Adrenozeptor-Antagonisten</t>
  </si>
  <si>
    <t>Hemmung der negativen Rückkopplung durch Alpha-2-Blockade -&gt; Serotonin und Noradrenalin Freisetzung gesteigert</t>
  </si>
  <si>
    <t>Q9-Vorlesungsskript</t>
  </si>
  <si>
    <t>Depression</t>
  </si>
  <si>
    <t>Sedierung, Gewichtszunahme, Blutbildveränderungen, Serotonin-Syndrom</t>
  </si>
  <si>
    <t>Keine gleichzeitige Einnahme mit MAO-Hemmern</t>
  </si>
  <si>
    <t>Vorsicht bei gleichzeitiger Anwendung mit anderen serotonergen Substanzen (z.B. SSRIs, Triptane, Tramadol…); kann die sedierende Wirkung von Alkohol und anderen zentral dämpfenden Substanzen verstärken </t>
  </si>
  <si>
    <t xml:space="preserve">Antidepressiva.jpg
Antidepressiva_Tabelle.jpg
</t>
  </si>
  <si>
    <t>Mutschler Arzneimittelwirkungen, 11. Auflage, S. 204, Abb. 10.1
Mutschler Arzneimittelwirkungen, 11. Auflage, S. 206, Tab. 10.1</t>
  </si>
  <si>
    <t xml:space="preserve">Dantrolen </t>
  </si>
  <si>
    <t>Muskelrelaxanzien Calciumfreisetzungsinhibitoren  Calcium- und Knochenstoffwechsel   Malignes neuroleptisches Syndrom Q9</t>
  </si>
  <si>
    <t xml:space="preserve">Calcium- und Knochenstoffwechsel  </t>
  </si>
  <si>
    <t xml:space="preserve">Calciumfreisetzungsinhibitoren </t>
  </si>
  <si>
    <t xml:space="preserve">Entkoppelt Nervenreiz und Muskelkontraktion durch Hemmung der Calciumfreisetzung aus dem sarkoplasmatischem Retikulum, wirkt dadurch peripher muskelrelaxierend </t>
  </si>
  <si>
    <t xml:space="preserve">Fachinfo </t>
  </si>
  <si>
    <t>Intravenös: Maligne Hyperthermie, Malignes neuroleptisches Syndrom; oral: spastische Syndrome mit gesteigerter Muskelspannung</t>
  </si>
  <si>
    <t>Fachinfo, Q9-Vorlesungsskipt</t>
  </si>
  <si>
    <r>
      <rPr>
        <sz val="11"/>
        <color rgb="FF000000"/>
        <rFont val="Calibri"/>
        <family val="2"/>
        <charset val="1"/>
      </rPr>
      <t xml:space="preserve">Müdigkeit, Muskelschwäche, evtl. auch der Atemmuskulatur </t>
    </r>
    <r>
      <rPr>
        <sz val="11"/>
        <color rgb="FF6AA84F"/>
        <rFont val="Calibri"/>
        <family val="2"/>
        <charset val="1"/>
      </rPr>
      <t>(-→  Überwachung 5 bis 8 Stunden nach Infusion), GI-Beschwerden, allergische Reaktionen der Haut, Thrombophlebitis, Lungenödem in Einzelfällen</t>
    </r>
    <r>
      <rPr>
        <sz val="11"/>
        <color rgb="FF000000"/>
        <rFont val="Calibri"/>
        <family val="2"/>
        <charset val="1"/>
      </rPr>
      <t xml:space="preserve"> </t>
    </r>
  </si>
  <si>
    <t xml:space="preserve">Überempfindlichkeit, Lebererkrankungen, eingeschränkte Lungenfunktion, schwere Herzmuskelschäden (kann Brady- und Tachykardien verursachen) Kinder unter 5, Schwangerschaft und Stillzeit </t>
  </si>
  <si>
    <t>alkalisch, daher möglichst über ZVK applizieren, da bei versehentlicher Infusion ins Gewebe Nekrosen möglich sind</t>
  </si>
  <si>
    <t>Wikipedia</t>
  </si>
  <si>
    <t xml:space="preserve">Thiopental </t>
  </si>
  <si>
    <t>Anästhesie Barbiturate  GABAerges System  Q9 Epilepsie</t>
  </si>
  <si>
    <t xml:space="preserve">Barbiturate </t>
  </si>
  <si>
    <t xml:space="preserve">Verstärkung GABAerger Effekte, senkt Hirn- und Augeninnendruck und wirkt dämpfend auf Herz-, Kreislauf- und Atemfunktion </t>
  </si>
  <si>
    <t>Kurznarkose oder Einleitung einer Allgemeinanästhesie, Status epilepticus</t>
  </si>
  <si>
    <t xml:space="preserve">Höchste klinische Relevanz: Atemdepressiver Effekt durch Verminderung der Sensibilität von CO2-Rezeptoren, Träume, psychische Reaktionen (Euphorie), Hypotonie und Tachykardie, Hypoventilation und Singultus, (pseudo)-allerg. Reaktionen der Atemwege und der Haut, unwillkürliche Muskelbewegungen </t>
  </si>
  <si>
    <t>Keine Anwendung bei Intoxikationen, hepatischer Porphyrie, schwerer Herzinsuffizienz/obstruktiver Lungenerkrankung, maligner Hyperthermie, Status asthmaticus, Schock</t>
  </si>
  <si>
    <r>
      <rPr>
        <sz val="11"/>
        <color rgb="FF6AA84F"/>
        <rFont val="Calibri"/>
        <family val="2"/>
        <charset val="1"/>
      </rPr>
      <t>Thiopental hat eine enge therapeutische Breite. Hierdurch ist der Grat zwischen wirksamer Dosis und toxischer Dosis sehr schmal. Es gibt kein Antidot im Falle einer absichtlichen (suizidalen) oder unbeabsichtigten Überdosierung.  Bei einer Überdosierung ist die Gabe von Sauerstoff aufgrund der Wirkung des Thiopentals auf die CO2-Rezeptoren kontraindiziert, da durch den Sauerstoff auch noch die O2-Rezeptoren als Atemantrieb ausfallen.</t>
    </r>
    <r>
      <rPr>
        <sz val="11"/>
        <color rgb="FF000000"/>
        <rFont val="Calibri"/>
        <family val="2"/>
        <charset val="1"/>
      </rPr>
      <t xml:space="preserve">                                                                                     </t>
    </r>
  </si>
  <si>
    <t>Doccheck</t>
  </si>
  <si>
    <t xml:space="preserve">Diazepam </t>
  </si>
  <si>
    <t>GABAerges System  Benzodiazepine Erregungszustände Angstzustände Q9</t>
  </si>
  <si>
    <t xml:space="preserve">Benzodiazepine </t>
  </si>
  <si>
    <t xml:space="preserve">Wirkmechanismus/Wirkung, Indikationen, Kontraindikationen, UAW, Wirkdauer </t>
  </si>
  <si>
    <t>Verstärkt die hemmende Wirkung des GABAergen Transmittersystems, wirkt dadurch spannungs-, erregungs- und angstdämpfend, sowie sedierend und hypnotisierend</t>
  </si>
  <si>
    <t>symptomatische Behandlung akuter oder chronischer Spannungs-, Erregungs- und Angstzustände, epileptische Anfälle, Prämedikation vor chirurgischen Eingriffen</t>
  </si>
  <si>
    <t xml:space="preserve">UAW sind häufig; jedoch abh. Von Person und Dosis; Müdigkeit (Sedierung), Benommenheit und Muskelschwäche; kann zu Abhängigkeit und Entzugssymptomatik führen, paradoxe Reaktion </t>
  </si>
  <si>
    <t xml:space="preserve">Suchtmittelabusus, akute Intoxikation, Myasthenia gravis, schwere Ateminsuffizienz oder Schlafapnoe, schwere Leberinsuffizienz, Säuglinge unter 6 Monaten </t>
  </si>
  <si>
    <r>
      <rPr>
        <sz val="11"/>
        <rFont val="Calibri"/>
        <family val="2"/>
        <charset val="1"/>
      </rPr>
      <t>Lange Wirkdaue</t>
    </r>
    <r>
      <rPr>
        <sz val="11"/>
        <color rgb="FF000000"/>
        <rFont val="Calibri"/>
        <family val="2"/>
        <charset val="1"/>
      </rPr>
      <t xml:space="preserve">r, wegen der Gefahr einer Abhängigkeitsentwicklung sollte die Therapie so kurz wie möglich erfolgen. </t>
    </r>
    <r>
      <rPr>
        <sz val="11"/>
        <color rgb="FF6AA84F"/>
        <rFont val="Calibri"/>
        <family val="2"/>
        <charset val="1"/>
      </rPr>
      <t>Sturzrisiko v.a. bei älteren Personen, 1963 von der Firma Hoffmann-La Roche unter dem Handelsname „Valium“auf den Markt gebracht.</t>
    </r>
  </si>
  <si>
    <t>Benzodiazepine.jpg</t>
  </si>
  <si>
    <t xml:space="preserve">Mutschler Arzneimittelwirkungen, 11. Auflage, S. 228, Abb. 12.1 </t>
  </si>
  <si>
    <t xml:space="preserve">Flumazenil </t>
  </si>
  <si>
    <t>GABAerges System Antidot Narkosebeendigung Benzodiazepine</t>
  </si>
  <si>
    <t>Flumazenil, ist ein kompetitiver Benzodiazepinantagonis;
Flumazenil hebt die Wirkungen der Benzodiazepine im ZNS auf</t>
  </si>
  <si>
    <t xml:space="preserve">Anästhesie und Intensivmedizin zur Antagonisierung der sedierenden Wirkung von Benzodizepinen </t>
  </si>
  <si>
    <t>Schlaflosigkeit, Schwindel, Kopfschmerzen, Sehstörungen, Hypotonie, Übelkeit und Erbrechen</t>
  </si>
  <si>
    <t>Situationen,  in denen ohne Benzodiazepine eine vitale Bedrohung vorliegen würde, z.B. intrakranieller Druck, Status asthmaticus</t>
  </si>
  <si>
    <t xml:space="preserve">Lorazepam </t>
  </si>
  <si>
    <t>Spannungs-, angst- und erregungshemmend, löst Hypotonie und Sedierung aus; Wirkt auch senkend auf den Muskeltonus und antikonvulsiv
bindet im Gehirn an den GABAA-Rezeptor; Es verstärkt dadurch die Wirkung des inhibitorischen Neurotransmitters GABA im zentralen Nervensystem</t>
  </si>
  <si>
    <t>symptomatische Kurzzeitbehandlung von Erregungs-, Spannungs- und Angstzuständen, Schlafstörungen und zur Sedierung im Rahmen medizinischer Eingriffe, Status epilepticus</t>
  </si>
  <si>
    <t xml:space="preserve">sehr häufig Sedierung, Müdigkeit und Benommenheit, Ataxie, Depression, Muskelschwäche, paradoxe Reaktion </t>
  </si>
  <si>
    <r>
      <rPr>
        <sz val="11"/>
        <color rgb="FF000000"/>
        <rFont val="Calibri"/>
        <family val="2"/>
        <charset val="1"/>
      </rPr>
      <t xml:space="preserve">Substanzabhängigkeit, </t>
    </r>
    <r>
      <rPr>
        <sz val="11"/>
        <color rgb="FF6AA84F"/>
        <rFont val="Calibri"/>
        <family val="2"/>
        <charset val="1"/>
      </rPr>
      <t xml:space="preserve">Myasthenia gravis, spinale und cerebelläre Ataxien, akute Intoxikationen, Atemfunktionsstörungen, Alter&lt;18 Jahren </t>
    </r>
  </si>
  <si>
    <t xml:space="preserve">Lange Wirkdauer, hohes Abhängigkeitspotenzial </t>
  </si>
  <si>
    <t xml:space="preserve">Midazolam </t>
  </si>
  <si>
    <t>GABAerges System  Sedierung Anästhesie Benzodiazepine Q9</t>
  </si>
  <si>
    <t>Verstärkt die hemmende Wirkung des GABAergen Transmittersystems, wirkt dadurch spannungs-, erregungs- und angstdämpfend, beeinflusst die Psychomotrik, bewirkt kaum hämodynamische Veränderungen 
bindet im Gehirn an den GABAA-Rezeptor; Es verstärkt dadurch die Wirkung des inhibitorischen Neurotransmitters GABA im zentralen Nervensystem</t>
  </si>
  <si>
    <t xml:space="preserve">(Analgo-) Sedierung und zur Anästhesie </t>
  </si>
  <si>
    <t>Abhängigkeits- und delirantes Potenzial, paradoxe Reaktionen , Sedierung, Benommenheit</t>
  </si>
  <si>
    <r>
      <rPr>
        <sz val="11"/>
        <color rgb="FF000000"/>
        <rFont val="Calibri"/>
        <family val="2"/>
        <charset val="1"/>
      </rPr>
      <t xml:space="preserve">Substanzabhängigkeit, </t>
    </r>
    <r>
      <rPr>
        <sz val="11"/>
        <color rgb="FF6AA84F"/>
        <rFont val="Calibri"/>
        <family val="2"/>
        <charset val="1"/>
      </rPr>
      <t xml:space="preserve">Myasthenia gravis, spinale und cerebelläre Ataxien, akute Intoxikationen, Atemfunktionsstörungen, keine orale Anwendung im Alter&lt;12 Jahren, keine Kombination mit CYP3A4 Modulatoren </t>
    </r>
  </si>
  <si>
    <t xml:space="preserve">kurze Wirkdauer, sehr hohes Abhängigkeitspotenzial </t>
  </si>
  <si>
    <t>Triazolam</t>
  </si>
  <si>
    <t>GABAerges System  Schlafstörungen Benzodiazepine</t>
  </si>
  <si>
    <t xml:space="preserve">Spannungs-, angst- und erregungshemmend, löst Hypotonie und Sedierung aus; Wirkt auch senkend auf den Muskeltonus und antikonvulsiv, bindet im Gehirn an den GABAA-Rezeptor; Es verstärkt dadurch die Wirkung des inhibitorischen Neurotransmitters GABA im zentralen Nervensystem; hohe Affinität zu den GABA-Rezeptoren im Gehirn </t>
  </si>
  <si>
    <t>Schlafstörungen (kurz HWZ, daher v.a. bei Einschlafstörungen anwendbar)</t>
  </si>
  <si>
    <t>Schläfrigkeit, Ataxie, Kopfschmerz, Schwindel</t>
  </si>
  <si>
    <r>
      <rPr>
        <sz val="11"/>
        <color rgb="FF000000"/>
        <rFont val="Calibri"/>
        <family val="2"/>
        <charset val="1"/>
      </rPr>
      <t xml:space="preserve">Substanzabhängigkeit, </t>
    </r>
    <r>
      <rPr>
        <sz val="11"/>
        <color rgb="FF6AA84F"/>
        <rFont val="Calibri"/>
        <family val="2"/>
        <charset val="1"/>
      </rPr>
      <t>Myasthenia gravis, spinale und cerebelläre Ataxien, akute Intoxikationen, Atemfunktionsstörungen,Schlafapnoe, Alter&lt;18 Jahren, keine Kombination mit CYP3A4 Modulatoren, Schwangerschaft und Stillzeit</t>
    </r>
  </si>
  <si>
    <t>kurze Wirkdauer, Abhängigkeitspotenzial</t>
  </si>
  <si>
    <t xml:space="preserve">Zopiclon </t>
  </si>
  <si>
    <t>GABAerges System Z-Substanzen  Schlafstörungen Q9</t>
  </si>
  <si>
    <t xml:space="preserve">Z-Substanzen </t>
  </si>
  <si>
    <t>Verstärkt GABAerge Wirkung durch Bindung an einer anderen Stelle des Rezeptors, sedierend, hypnotisch und anxiolytisch, außerdem muskelrelaxierend und antikonvulsiv</t>
  </si>
  <si>
    <t xml:space="preserve">Schlafstörungen </t>
  </si>
  <si>
    <t>Geschmacksstörungen, Mundtrockenheit</t>
  </si>
  <si>
    <t>Myasthenia gravis, schwere Ateminsuffizienz, schwere Schlafapnoe, schwere Leberinsuffizienz, Alter &lt;18 Jahre, Stillzeit</t>
  </si>
  <si>
    <r>
      <rPr>
        <sz val="11"/>
        <color rgb="FF000000"/>
        <rFont val="Calibri"/>
        <family val="2"/>
        <charset val="1"/>
      </rPr>
      <t xml:space="preserve">kurze Wirkdauer, Abhängigkeitspotenzial, </t>
    </r>
    <r>
      <rPr>
        <sz val="11"/>
        <color rgb="FF6AA84F"/>
        <rFont val="Calibri"/>
        <family val="2"/>
        <charset val="1"/>
      </rPr>
      <t xml:space="preserve">Wie Benzodiazepine sind Z-Substanzen allosterische Modulatoren des GABA-A-Rezeptors. Dabei sollen Z-Substanzen ausschließlich an die alpha-1-Untereinheit binden, die für die sedierende Wirkung zuständig ist. Durch fehlende/geringere alpha-2-Bindung weniger anxiolytisch und muskelrelaxierend als Benzodiazepine. </t>
    </r>
  </si>
  <si>
    <t xml:space="preserve">Clozapin </t>
  </si>
  <si>
    <t>mGPCR-Antagonisierung (Antagonisierung an multiplen G-Protein gekoppelten Rezeptoren) Antagonisierung an multiplen G-Protein gekoppelten Rezeptoren mit pleiotropen Wirkungen Schizophrenie Antipsychotika Q9</t>
  </si>
  <si>
    <t xml:space="preserve">mGPCR-Antagonisierung (Antagonisierung an multiplen G-Protein gekoppelten Rezeptoren) </t>
  </si>
  <si>
    <t xml:space="preserve">Antagonisierung an multiplen G-Protein gekoppelten Rezeptoren mit pleiotropen Wirkungen  </t>
  </si>
  <si>
    <t xml:space="preserve">Wirkmechanismus/Wirkung, Indikationen, Kontraindikationen, UAW, Bewertung </t>
  </si>
  <si>
    <t>anti-alpha-adrenerge, anticholinerge, antihistaminerge und antiserotonerge Wirkung; D4-Antagonist</t>
  </si>
  <si>
    <t xml:space="preserve">Therapieresistente Schizophrenie; Psychosen bei Patienten mit Morbus Parkinson </t>
  </si>
  <si>
    <t>Gewichtszunahme, Sedierung, Leukopenie bis zur Agranulozytose, Myokarditis, QT-Zeit-Verlängerung, Tachykardien, sehr häufig Obstipation</t>
  </si>
  <si>
    <t>Q9-Vorlesungsskript, Fachinfo</t>
  </si>
  <si>
    <r>
      <rPr>
        <sz val="11"/>
        <color rgb="FF000000"/>
        <rFont val="Calibri"/>
        <family val="2"/>
        <charset val="1"/>
      </rPr>
      <t xml:space="preserve">Erhöhtes Risiko für Agranulozytose, </t>
    </r>
    <r>
      <rPr>
        <sz val="11"/>
        <color rgb="FF6AA84F"/>
        <rFont val="Calibri"/>
        <family val="2"/>
        <charset val="1"/>
      </rPr>
      <t xml:space="preserve">unkontrollierte Epilepsie, Vergiftungen, Bewusstseinstrübung, Kollapsneigung, schwere Erkrankungen von Niere oder Herzen, Lebererkrankungen, paralytischer Ileus  </t>
    </r>
  </si>
  <si>
    <t xml:space="preserve">Geringstes Potential für EPMS aller Antipsychotika (-→ Zulassung bei Parkinson-Psychose), aufgrund des Agranulozytoserisikos und der ausgeprägten metabolischen Nebenwirkungen jedoch nur bei therapierefraktärer Schizophrenie eingesetzt </t>
  </si>
  <si>
    <t>Atypika.jpg</t>
  </si>
  <si>
    <t>Q9-VL_Psychiatrische Erkrankungen, WS2122_22Sep2021.pdf</t>
  </si>
  <si>
    <t xml:space="preserve">Melperon </t>
  </si>
  <si>
    <t>MGPCR-Antagonisierung ntagonisierung an multiplen G-Protein gekoppelten Rezeptoren mit pleiotropen Wirkungen  Schlafstörungen Erregungszustände Antipsychotika Q9</t>
  </si>
  <si>
    <t xml:space="preserve">mGPCR-Antagonisierung </t>
  </si>
  <si>
    <t>schwach bis mittelstark wirksames Antipsychotikum, D2-Antagonist und antiserotonerg</t>
  </si>
  <si>
    <t xml:space="preserve">Behandlung von Schlafstörungen, Erregungszuständen und psychomotrischer Unruhe </t>
  </si>
  <si>
    <t>Hypotonie, QT-Verlängerung, EPMS, MNS, Leukopenie</t>
  </si>
  <si>
    <t>Akute Vergiftungen, Bewusstseinsstörungen, Leberinsuffizienz, Alter unter 12 J., MNS in der Vorgeschichte</t>
  </si>
  <si>
    <t>Antipsychotikum mit schwacher antipsychotischer Wirkung bei ausgeprägter sedierender Wirkung; geringes Risiko für EPMS und kaum Herz-Kreislauf-Wirkung, daher gerne bei gerontopsychiatrischen Patienten eingesetzt</t>
  </si>
  <si>
    <t xml:space="preserve">Olanzapin </t>
  </si>
  <si>
    <t>MGPCR-Antagonisierung ntagonisierung an multiplen G-Protein gekoppelten Rezeptoren mit pleiotropen Wirkungen Schizophrenie Antipsychotika Q9</t>
  </si>
  <si>
    <t xml:space="preserve">Pleiotrope Rezeptorinteraktionen mit antimanischer, neuroleptischer und stimmungsstabilisierender Wirkung  </t>
  </si>
  <si>
    <t xml:space="preserve">Schizophrenie und manische Episoden </t>
  </si>
  <si>
    <t>Sedierung, Gewichtszunahme, Blutbildveränderungen (Leukopenie), QT-Verlängerung, EPMS</t>
  </si>
  <si>
    <t>Q9-Vorlesungsskrit</t>
  </si>
  <si>
    <t xml:space="preserve">Engwinkelglaukom </t>
  </si>
  <si>
    <t xml:space="preserve">Opipramol </t>
  </si>
  <si>
    <t>MGPCR-Antagonisierung ntagonisierung an multiplen G-Protein gekoppelten Rezeptoren mit pleiotropen Wirkungen somatoforme Störung Antipsychotika Q9</t>
  </si>
  <si>
    <t xml:space="preserve">Antagonist an H1, D2, Serotonin, Alpha- und Sigmarezeptoren und somit Auswirkungen auf Dopamin/NMDA Stoffwechsel, im Gegensatz zu anderen Trizyklika KEINE Wiederaufnahmehemmung, wirkt beim Menschen sedierend, angstlösend und gering stimmungsaufhellend </t>
  </si>
  <si>
    <t xml:space="preserve">somatoforme Störung, generalisierte Angststörung </t>
  </si>
  <si>
    <t xml:space="preserve">Müdigkeit, Mundtrockenheit, verstopfte Nase, Hypotonie, orthostatische Dysregulation, kurzfristiges Absetzen sollte vermieden werden </t>
  </si>
  <si>
    <t>Keine Kombination mit MAO-Hemmern, akute Intox oder Delir, akuter Harnverhalt/Prostatahyperplasie, HRST, Engwinkelglaukom, paralytischer Ileus</t>
  </si>
  <si>
    <t>Chemisch ist Opipramol ein trizyklisches Antidepressivum und wirkt beruhigend, stimmungsaufhellend und angstlösend. Allerdings beruht diese Wirkung vermutlich nicht auf Wiederaufnahmehemmung von Neurotransmittern (wie Serotonin, Noradrenalin), sondern u.a. auf der Bindung an Sigma-1-Rezeptoren.</t>
  </si>
  <si>
    <t>Netdoktor</t>
  </si>
  <si>
    <t xml:space="preserve">Pipamperon </t>
  </si>
  <si>
    <t>MGPCR-Antagonisierung ntagonisierung an multiplen G-Protein gekoppelten Rezeptoren mit pleiotropen Wirkungen Schlafstörungen Antipsychotika</t>
  </si>
  <si>
    <t>Blockade von Dopaminrezeptoren (D4&gt;D2) und hohe Affinität zu Serotoninrezeptoren 
W:
 Schlaffördernd, beruhigend, antipsychotisch</t>
  </si>
  <si>
    <t>Schlafstörungen (insb. Geriatrische Patienten), psychomotorische Erregungszustände, Aggressivität</t>
  </si>
  <si>
    <t xml:space="preserve">Sehr häufig: Somnolenz, Zahnradphänomen,  häufig: Hypertonie, Hypotension, Depression, Dyskinisien, Tachykardien, Erbrechen, Amenorrhö, Gangstörungen </t>
  </si>
  <si>
    <t xml:space="preserve">Dämpfung des ZNS, Erkrankungen der Basalganglien, Schwangerschaft/Stillzeit </t>
  </si>
  <si>
    <t>niedrigpotentes Neuroleptikum aus der Gruppe der Butyrophenone</t>
  </si>
  <si>
    <t xml:space="preserve">Promethazin </t>
  </si>
  <si>
    <t>MGPCR-Antagonisierung ntagonisierung an multiplen G-Protein gekoppelten Rezeptoren mit pleiotropen Wirkungen Unruhe Erregungszustände Antipsychotika</t>
  </si>
  <si>
    <t>WM:
Promethazin wirkt wie die meisten Phenothiazine antagonistisch an α-adrenergen, serotonergen, histaminischen (H1) und muskarinischen Rezeptoren im gesamten Körper
Antihistaminikum und damit stark sedierend, nur gering antipsychotisch (anticholinerg, antiserotonerg, nicht anti-dopaminerg)</t>
  </si>
  <si>
    <t xml:space="preserve">Unruhe und Erregungszustände bei psychiatrischer Grunderkrankung, Übelkeit und Erbrechen, Schlafstörungen  </t>
  </si>
  <si>
    <t>Sehr häufig Sedierend und Mundtrockenheit, Leukopenie bis Agranulozytose, Gewichtszunahme, Dyskinesien,  Blutdruckveränderungen, HRST,</t>
  </si>
  <si>
    <t xml:space="preserve">Akute Intoxikation mit zentraler Dämpfung, schwere Blutzell/Knochenmarkschädigung, Kreislaufschock/Koma, Alter&lt;18J, MNS nach Promethazin </t>
  </si>
  <si>
    <t>Phenothiazin-Antipsychotikum, wirkt nur gering antipsychotisch, daher meist zur Sedierung oder als Antiemetikum eingesetzt</t>
  </si>
  <si>
    <t xml:space="preserve">Quetiapin </t>
  </si>
  <si>
    <t>Atypikum; hemmt neben den mesokortikalen und limbischen Dopamin-Rezeptoren  auch die Serotonin-Rezeptoren (Wirkung auf die Negativsymptomatik)
Antipsychotisch</t>
  </si>
  <si>
    <t xml:space="preserve">Schizophrenie und bipolare Störungen </t>
  </si>
  <si>
    <t xml:space="preserve">Sedierung, Gewichtszunahme, geringe EPMS Nebenwirkungen, QT-Zeitverlängerung möglich </t>
  </si>
  <si>
    <t>Glz. Einnahme von starken CYP3A4-Hemmern</t>
  </si>
  <si>
    <t>Geringe EPMS → bei Parkinson-Psychose als Off-Label-Gabe möglich</t>
  </si>
  <si>
    <t xml:space="preserve">Risperidon </t>
  </si>
  <si>
    <t>Atypikum; hemmt neben den mesokortikalen und limbischen Dopamin-Rezeptoren  auch die Serotonin-Rezeptoren (Wirkung auf die Negativsymptomatik)  selektiv monaminerger Antagonist ,wirkt v.a. auf D2 und Serotonin Rezeptoren 
W: 
antipsychotisch, brechreizhemmend und sedierend</t>
  </si>
  <si>
    <t>Q9-Vorlesungsskript/Fachinfo</t>
  </si>
  <si>
    <t xml:space="preserve">Schizophrenie, bipolare Störungen bei manischer Episode, Aggression bei zugrundeliegender Demenz oder bei Kindern </t>
  </si>
  <si>
    <t>EPMS, Gewichtszunahme, QT-Zeitverlängerung, Sedierung, Somnolenz</t>
  </si>
  <si>
    <t xml:space="preserve">Moclobemid </t>
  </si>
  <si>
    <t>Norepinephrin/5-Hydroxytyramin-Verstärkung Monoaminoxidase-Inhibitoren Major Depression Antidepressiva Q9</t>
  </si>
  <si>
    <t xml:space="preserve">Norepinephrin/5-Hydroxytyramin-Verstärkung </t>
  </si>
  <si>
    <t>Monoaminoxidase-Inhibitoren</t>
  </si>
  <si>
    <t>Reversible Hemmung der Monoaminoxidase (v.a. A) und damit Beeinflussung des zerebralen monoaminergen Neurotransmittersystems
W:
stimmungsaufhellend, belebend</t>
  </si>
  <si>
    <t xml:space="preserve">Major Depression </t>
  </si>
  <si>
    <t xml:space="preserve">Schlafstörungen, Schwindel, Kopfschmerzen, Mundtrockenheit, Übelkeit, </t>
  </si>
  <si>
    <t xml:space="preserve">Vewirrtheitszustände, Patienten mit Phäochromozytom, Kinder/Jugendliche, WW mit verschiedenen Medis: CAVE hypertensive Krise (tyraminarme Diät), Serotonin Syndrom  </t>
  </si>
  <si>
    <t>Glz. Einnahme von weiteren serotonergen Substanzen, z.B. andere Antidepressiva: Risiko für Serotonin-Syndrom erhöht</t>
  </si>
  <si>
    <t>Antidepressiva.jpg
Therapie Depression.jpg</t>
  </si>
  <si>
    <t>Mutschler Arzneimittelwirkungen, 11. Auflage, S. 204, Abb. 10.1
Q9-VL_Psychiatrische Erkrankungen, WS2122_22Sep2021.pdf</t>
  </si>
  <si>
    <t xml:space="preserve">Tranylcypromin </t>
  </si>
  <si>
    <t>Norepinephrin/5-Hydroxytyramin-Verstärkung Monoaminoxidase-Inhibitoren Major Depression Antidepressiva</t>
  </si>
  <si>
    <t>Reversible Hemmung der Monoaminoxidase (A und B) und damit Beeinflussung des zerebralen monoaminergen Neurotransmittersystems
W:
Antidepressiv</t>
  </si>
  <si>
    <t>mehr UAW, da nicht selektiv: Mundtrockenheit, Schlaflosigkeit, Unruhe, Tremor, Übelkeit, Schwindel, orthostatische Dysregulation, HRST</t>
  </si>
  <si>
    <t>Schwangerschaft, Phäochromozytom, Hyperthyreose, Delir, Aneuysmen, Karzinoide, maligne Hyperthermie, Porphyrie, WW mit verschiedenen Medis (tyraminarme Diät)</t>
  </si>
  <si>
    <t xml:space="preserve">Amitriptylin </t>
  </si>
  <si>
    <t>Norepinephrin/5-Hydroxytyramin-Verstärkung Nicht-selektive Monoamin-Wiederaufnahme-Inhibitoren Depressive Erkrankungen Antidepressiva Q9</t>
  </si>
  <si>
    <t>Nicht-selektive Monoamin-Wiederaufnahme-Inhibitoren</t>
  </si>
  <si>
    <t>Trizyklika</t>
  </si>
  <si>
    <t>Hemmt die Wiederaufnahme von Noradrenalin und Serotonin und wirkt an multiplen Rezeptoren antagonistisch (z.B. Anticholinerg)
W:
beruhigend, angstlösend, antidepressiv</t>
  </si>
  <si>
    <t xml:space="preserve">Depressive Erkrankungen </t>
  </si>
  <si>
    <t>Anticholinerge Nebenwirkungen (Mundtrockenheit, Tachykardie..), Sedierend, Hypotonie, HRST, Tachykardie, Übelkeit, Erbrechen, Diarrhö, Obstipation, Gewichtszunahme, erektile Dysfunktion, Ejakulationsstörungen, Libidoverlust</t>
  </si>
  <si>
    <t>Intoxikation, Delir, Harnretention oder Prostatahyperplasie mit Restharnbildung, Engwinkelglaukom, Pylorusstenose, paralytischer Ileus, Hypokaliämie, Bradykardie, QT-Verlängerung, glz. Behandlung mit MAO-Hemmern</t>
  </si>
  <si>
    <t xml:space="preserve">Clomipramin </t>
  </si>
  <si>
    <t>Hemmt v.a. die Wiederaufnahme von Serotonin, antinozizeptiv, weniger starke Hemmung der Noradrenalin-Wiederaufnahme und Antagonismus an Cholinrezeptor
W:
antinozizeptiv, antidepressiv, antiobsessiv, dämpfend, anticholinerg</t>
  </si>
  <si>
    <t xml:space="preserve">Depressive Erkrankungen, Zwangsstörungen, Phobien, Schlafstörungen, Kataplexie, Halluzinationen bei Narkolepsie </t>
  </si>
  <si>
    <t>V.a. zu Beginn Benommenheit und Müdigkeit, Appetitsteigerung, Mundtrockenheit, orthostatische Dsyregulation, Tachykardie, Obstipation, Übelkeit, Gewichtszunahme</t>
  </si>
  <si>
    <t xml:space="preserve">Intoxikation, Delir, Harnretention oder Prostatahyperplasie mit Restharnbildung, Engwinkelglaukom, Pylorusstenose, paralytischer Ileus, glz. Behandlung mit MAO-Hemmern, akute Stadien eines Myokardinfarktes </t>
  </si>
  <si>
    <t xml:space="preserve">Venlafaxin </t>
  </si>
  <si>
    <t>Norepinephrin/5-Hydroxytyramin-Verstärkung Selektive Noradrenalin-Serotonin-Wiederaufnahmehemmer Major Depression Antidepressiva Q9</t>
  </si>
  <si>
    <t xml:space="preserve">Selektive Noradrenalin-Serotonin-Wiederaufnahmehemmer </t>
  </si>
  <si>
    <t>Wirkmechanismus/Wirkung, Indikationen, Kontraindikationen, UAW, Besondere UAW</t>
  </si>
  <si>
    <t>Steigert durch die Aufnahmehemmung von Serotonin und Noradrenalin deren verfügbare Spiegel
W:
Antidepressiv</t>
  </si>
  <si>
    <t xml:space="preserve">Behandlung und Rezidivprophylaxe einer Major Depression </t>
  </si>
  <si>
    <t>Agitiertheit, Unruhe, Angst, Schlafstörungen, Krampfanfälle, Suzidgedanken Übelkeit, Erbrechen, Diarrhö, sexuelle Dysfunktion, Ejakulationsstörungen, Libidoverlust, SIADH, Serotonin-Syndrom, Hypertonie</t>
  </si>
  <si>
    <t xml:space="preserve">gleichzeitige Anwendung von irreversiblen MAO-Hemmern, wegen der Gefahr eines Serotonin-Syndroms </t>
  </si>
  <si>
    <t>SIADH: ADH-Überschuss führt zu Hyponatriämie mit Lethargie, Vewirrtheit, Krämpfen bis  Koma; Serotonin-Syndrom: mit neuromuskulären, mentalen Störungen und autonomer Hyperaktivität</t>
  </si>
  <si>
    <t xml:space="preserve">Citalopram </t>
  </si>
  <si>
    <t>Selektive Serotonin- Wiederaufnahme Inhibitoren Selektive Serotonin- Wiederaufnahme Inhibitoren Antidepressiva</t>
  </si>
  <si>
    <t>Selektive Serotonin- Wiederaufnahme Inhibitoren </t>
  </si>
  <si>
    <t>Steigert durch die Aufnahmehemmung von Serotonin den Serotoninspiegel
W:
Antidepressiv</t>
  </si>
  <si>
    <t xml:space="preserve">Depression, Angst-, Zwangs- und Panikstörung </t>
  </si>
  <si>
    <t>Agitiertheit, Unruhe, Angst, Schlafstörungen, Krampfanfälle, Suzidgedanken Übelkeit, Erbrechen, Diarrhö, sexuelle Dysfunktion, Ejakulationsstörungen, Libidoverlust, SIADH, Serotonin-Syndrom, erhöhte Blutungsneigung bei Kombi mit ASS/NSAID</t>
  </si>
  <si>
    <t>Kombination mit MAO-Hemmern, angeborene oder medikamentöse QT-Verlängerung  </t>
  </si>
  <si>
    <t>SIADH: ADH-Überschuss führt zu Hyponatriämie mit Lethargie, Vewirrtheit, Krämofen bis  Koma; Serotonin-Syndrom: mit neuromuskulären, mentalen Störungen und autonomer Hyperaktivität, Wechselwirkungen durch CYP-Inhibition mgl.</t>
  </si>
  <si>
    <t xml:space="preserve">Sertralin </t>
  </si>
  <si>
    <t>Selektive Serotonin- Wiederaufnahme Inhibitoren Selektive Serotonin- Wiederaufnahme Inhibitoren Antidepressiva Q9</t>
  </si>
  <si>
    <t>Depression, Zwangsstörung, Panikstörung, Posttraumatische Belastungsstörung, soziale Phobie</t>
  </si>
  <si>
    <t>Kombination mit MAO-Hemmern oder Pimozid, schwere Leberinsuffizienz </t>
  </si>
  <si>
    <t>Lithium</t>
  </si>
  <si>
    <t>Wasser- und Elektrolythaushalt Alkali-Ionen Bipolare Störungen Antidepressiva Q9</t>
  </si>
  <si>
    <t>Alkali-Ionen</t>
  </si>
  <si>
    <t>Wirkmechanismus/Wirkung, Indikationen, Kontraindikationen, UAW, Anwendung</t>
  </si>
  <si>
    <t>Multiple Effekte u.a. auf die Neurotransmitterregulation und die intrazelluläre Signaltransduktion 
W: 
antimanisch, antidepressiv, antipsychotisch</t>
  </si>
  <si>
    <t xml:space="preserve">Prophylaxe der bipolaren affektiven Störung und Episoden einer Major Depression, Unipolare Depression (Akuttherapie, in Kombination mit Antidepressiva zur Augmentation), Suizidalität </t>
  </si>
  <si>
    <t>Tremor, Diarrhö, Polyurie, Polydipsie, euthyreote Struma, Hypothyreose, Gewichtszunahme, EKG-Veränderungen, Verlängerung des QT-Intervalls</t>
  </si>
  <si>
    <t>Akutes Nierenversagen, akuter Herzinfarkt, ausgeprägte Hyponatriämie</t>
  </si>
  <si>
    <r>
      <rPr>
        <sz val="11"/>
        <color rgb="FF000000"/>
        <rFont val="Calibri"/>
        <family val="2"/>
        <charset val="1"/>
      </rPr>
      <t xml:space="preserve">CAVE: Regelmäßige Kontrollen des Lithiumspiegels (max. 1,2 mmol/l) -&gt; Intoxikation mit vitaler Gefährdung insbesondere bei negativer Natriumbilanz;  </t>
    </r>
    <r>
      <rPr>
        <sz val="11"/>
        <color rgb="FF6AA84F"/>
        <rFont val="Calibri"/>
        <family val="2"/>
        <charset val="1"/>
      </rPr>
      <t xml:space="preserve">Symptome: zerebrale Krampfanfälle, Koma, Oligurie, Schock, Herzstillstand; Bei zusätzlicher Gabe von Medikamenten, die den Natriumhaushalt beeinflussen (z.B. Diuretika, ACE-Hemmer und nicht steroidale Antirheumatika (NSAR)) ist Vorsicht geboten, da Natrium und Lithium als jeweils einfach geladene Kationen um die tubulären Rückresorptionsmechanismen konkurrieren. </t>
    </r>
  </si>
  <si>
    <t>Lithium.jpg</t>
  </si>
  <si>
    <t>Mutschler Arzneimittelwirkungen, 11. Auflage, S. 221, Abb. 11.2</t>
  </si>
  <si>
    <t>Thiamazol</t>
  </si>
  <si>
    <t>Endokrine Erkrankungen </t>
  </si>
  <si>
    <t>Endokrine Erkrankungen Schilddrüse Thyreoperoxidase-Inhibitoren Q9</t>
  </si>
  <si>
    <t>Schilddrüse</t>
  </si>
  <si>
    <t>Thyreoperoxidase-Inhibitoren </t>
  </si>
  <si>
    <t>WM:
Blockade der Peroxidase, Blockade der Iodierung und Hemmung der Deiodinase -&gt; Konversion von T4 zu T3 gehemmt
W:
Thyreostatisch</t>
  </si>
  <si>
    <t>Q9-Vorlesungsskript
https://www.pharmawiki.ch/wiki/index.php?wiki=thiamazol</t>
  </si>
  <si>
    <r>
      <rPr>
        <sz val="11"/>
        <color rgb="FF000000"/>
        <rFont val="Calibri"/>
        <family val="2"/>
        <charset val="1"/>
      </rPr>
      <t>Behandlung der Hyperthyreose, z.B. bei Morbus Basedow, Schilddrüsen-Autonomie, Operations-Vorbereitung bei Hyperthyreose</t>
    </r>
    <r>
      <rPr>
        <sz val="11"/>
        <color rgb="FF6AA84F"/>
        <rFont val="Calibri"/>
        <family val="2"/>
        <charset val="1"/>
      </rPr>
      <t xml:space="preserve"> </t>
    </r>
    <r>
      <rPr>
        <sz val="11"/>
        <color rgb="FF37761D"/>
        <rFont val="Calibri"/>
        <family val="2"/>
        <charset val="1"/>
      </rPr>
      <t>(Senkung des Operationsrisikos durch Euthyreose, ggf. mit Plummerung durch Jodgabe)</t>
    </r>
  </si>
  <si>
    <t>Q9-Vorlesungsskript, Fachinformation Thiamazol Henning</t>
  </si>
  <si>
    <t>Sehr häufig: allergische Hauterscheinungen; häufig: Arthralgien, Myalgien, GI-Beschwerden; gelegentlich (0,3-0,6 %) Blutbildveränderungen, Agranulozytose; (sehr) selten: Cholestase, akute Pankreatitis</t>
  </si>
  <si>
    <t>Granulozytopenie, Cholestase, Knochenmarkschädigung durch Thiamazol, akute Pankreatitis (Vorgeschichte), retrosternale Struma</t>
  </si>
  <si>
    <t>PharmaWiki </t>
  </si>
  <si>
    <t>Wegen des Risikos einer Agranulozytose müssen Patienten vor Behandlungsbeginn
auf deren Symptome (Stomatitis, Pharyngitis, Fieber, Furunkulose) hingewiesen werden. Sie tritt üblicherweise während der
ersten Behandlungswochen auf, kann sich aber auch noch einige Monate nach Beginn und auch nach Wiederaufnahme einer Behandlung manifestieren. Eine engmaschige
Blutbildkontrolle wird vor und nach Therapiebeginn empfohlen, besonders in Fällen
mit vorbestehender, leichter Granulozytopenie. Wenn sich
eine Agranulozytose bestätigt, muss das Arzneimittel abgesetzt werden.</t>
  </si>
  <si>
    <t>Fachinformation Thiamazol Henning</t>
  </si>
  <si>
    <t>Levothyroxin </t>
  </si>
  <si>
    <t>Endokrine Erkrankungen Schilddrüse Thyroxinrezeptor-Agonisten Q9</t>
  </si>
  <si>
    <t>Thyroxinrezeptor-Agonisten </t>
  </si>
  <si>
    <t>Wirkmechanismus/Wirkung, Indikationen, Kontraindikationen, UAW, WW</t>
  </si>
  <si>
    <t>WM:
Die Schilddrüsenhormone wirken, indem sie an Schilddrüsenrezeptorproteine im Zellkern binden. Hierbei wird die DNA-Transkription direkt beeinflusst und die Stoffwechselrate von Zellen aller Gewebe im Körper gesteigert, indem sie die Glukoneogenese, die Proteinsynthese, die Mobilisierung von Glykogenspeichern und andere Funktionen erhöhen.
W:
Entspricht dem körpereigenen Thyroxin (T4) und steigert u.a. den Energieumsatz und fördert die Wärmebildung</t>
  </si>
  <si>
    <t>PharmaWiki
https://www.gelbe-liste.de/wirkstoffe/Levothyroxin_18511#Wirkmechanismus</t>
  </si>
  <si>
    <t>Strumen, Substitution bei Hypothyreose, TSH-Suppression bei Schilddrüsenmalignomen, in Kombination mit thyreostatischer Therapie bei Hyperthyreose </t>
  </si>
  <si>
    <t>Bei Überdosierung: Nervosität, Tachykardie, HRST, Kopfschmerzen, Krämpfe, Tremor, Gewichtsabnahme, Diarrhö</t>
  </si>
  <si>
    <r>
      <rPr>
        <sz val="11"/>
        <color rgb="FF000000"/>
        <rFont val="Calibri"/>
        <family val="2"/>
        <charset val="1"/>
      </rPr>
      <t xml:space="preserve">Unbehandelte Hyperthyreose, Akuter Myokardinfarkt, akute Myokarditis, </t>
    </r>
    <r>
      <rPr>
        <sz val="11"/>
        <color rgb="FF37761D"/>
        <rFont val="Calibri"/>
        <family val="2"/>
        <charset val="1"/>
      </rPr>
      <t>die Kombination von Levothyroxin mit Thyreostatika zur Behandlung einer Hyperthyreose sollte in der Schwangerschaft nicht erfolgen</t>
    </r>
    <r>
      <rPr>
        <sz val="11"/>
        <color rgb="FF000000"/>
        <rFont val="Calibri"/>
        <family val="2"/>
        <charset val="1"/>
      </rPr>
      <t> </t>
    </r>
  </si>
  <si>
    <r>
      <rPr>
        <sz val="11"/>
        <color rgb="FF000000"/>
        <rFont val="Calibri"/>
        <family val="2"/>
        <charset val="1"/>
      </rPr>
      <t>WW: Levothyroxin hat ein hohes Interaktionspotential. Bestimmte Wirkstoffe können die Absorption des Schilddrüsenhormons verringern. Dazu gehören Ionenaustauscherharze, Sevelamer, Antazida, Calcium- und Eisenpräparate. Auch Nahrungsmittel können einen Einfluss auf die Aufnahme haben, zum Beispiel Sojaprodukte. Deshalb wird eine nüchterne Einnahme empfohlen.
Levothyroxin ist stark proteingebunden und kann von anderen Wirkstoffen aus der Proteinbindung verdrängt werden (und vice versa). B</t>
    </r>
    <r>
      <rPr>
        <sz val="11"/>
        <color rgb="FF37761D"/>
        <rFont val="Calibri"/>
        <family val="2"/>
        <charset val="1"/>
      </rPr>
      <t>ei Kombination mit Antidiabetika: Wirkung verringert → Blutzuckerkontrollen empfohlen;  bei Kombination mit Coumarin-Derivaten: Blutungsneigung erhöht;</t>
    </r>
    <r>
      <rPr>
        <sz val="11"/>
        <color rgb="FF000000"/>
        <rFont val="Calibri"/>
        <family val="2"/>
        <charset val="1"/>
      </rPr>
      <t xml:space="preserve"> </t>
    </r>
    <r>
      <rPr>
        <sz val="11"/>
        <color rgb="FF37761D"/>
        <rFont val="Calibri"/>
        <family val="2"/>
        <charset val="1"/>
      </rPr>
      <t>diverse Medikamente verringern die Wirkung (z.B. Proteaseinhibitoren, Colestyramin, Tyrosinkinase-Inhibitoren) </t>
    </r>
  </si>
  <si>
    <t>Q9-Vorlesungsskript, PharmaWiki</t>
  </si>
  <si>
    <t>Levothyroxin.jpg</t>
  </si>
  <si>
    <t>https://www.pharmawiki.ch/wiki/index.php?wiki=levothyroxin</t>
  </si>
  <si>
    <t>Cinacalcet</t>
  </si>
  <si>
    <t>Adjuvantien Endokrine Erkrankungen Allosterische Modulatoren des Calcium-sensitiven Rezeptors Calcium- und Knochenstoffwechsel Q9</t>
  </si>
  <si>
    <t xml:space="preserve">Calcium- und Knochenstoffwechsel </t>
  </si>
  <si>
    <t>Allosterische Modulatoren des Calcium-sensitiven Rezeptors</t>
  </si>
  <si>
    <t>WM:
Cinacalcet verändert die Tertiärstruktur des Rezeptors → dadurch erhöht sich die Sensitivität für Calcium an den Rezeptoren der Nebenschilddrüse →  durch die negative Rückkopplung wird weniger Parathormon produziert → dadurch sinkt der Calciumspiegel
W:
Calcimimetisch</t>
  </si>
  <si>
    <t>Fachinfo
https://www.pharmawiki.ch/wiki/index.php?wiki=cinacalcet</t>
  </si>
  <si>
    <t xml:space="preserve">primärer/sekundärer Hyperparathyreoidismus, Nebenschilddrüsenkarzinome </t>
  </si>
  <si>
    <r>
      <rPr>
        <sz val="11"/>
        <color rgb="FF6AA84F"/>
        <rFont val="Calibri"/>
        <family val="2"/>
        <charset val="1"/>
      </rPr>
      <t>Sehr häufig: Übelkeit und Erbrechen, Anorexie, Muskelschmerzen, Krämpfe, Hypokalzämie, Allergische Hautreaktion</t>
    </r>
    <r>
      <rPr>
        <sz val="11"/>
        <color rgb="FF000000"/>
        <rFont val="Calibri"/>
        <family val="2"/>
        <charset val="1"/>
      </rPr>
      <t xml:space="preserve"> </t>
    </r>
  </si>
  <si>
    <t>Hypokalzämie</t>
  </si>
  <si>
    <t>Alendronat</t>
  </si>
  <si>
    <t>Adjuvantien Bisphosphonate Calcium- und Knochenstoffwechsel Q9 Osteoporose Endokrine Erkrankungen</t>
  </si>
  <si>
    <t xml:space="preserve">Bisphosphonate </t>
  </si>
  <si>
    <t>WM:
Einschleusung von toxischen ATP-Analoga in die Osteoklasten durch die Alendronsäure. Infolgedessen wird die intrazelluläre Farnesylpyrophosphat-Synthase der Osteoklasten gehemmt, wodurch die Produktion sämtlicher für das Zellwachstum notwendigen Signalpeptide unterbleibt. 
W:
Hemmt die Osteoklasten-vermittelte Knochenresorption und führt dadurch zu einer Zunahme der Knochenmasse</t>
  </si>
  <si>
    <t>Fachinfo
https://flexikon.doccheck.com/de/Alendrons%C3%A4ure</t>
  </si>
  <si>
    <t xml:space="preserve">Postmenopausale Osteoporose der Frau, Reduktion des Risikos von Hüft- und Wirbelkörperfrakturen </t>
  </si>
  <si>
    <r>
      <rPr>
        <sz val="11"/>
        <color rgb="FF000000"/>
        <rFont val="Calibri"/>
        <family val="2"/>
        <charset val="1"/>
      </rPr>
      <t xml:space="preserve"> sehr häufig: muskuloskeletaler Schmerz, </t>
    </r>
    <r>
      <rPr>
        <sz val="11"/>
        <color rgb="FF6AA84F"/>
        <rFont val="Calibri"/>
        <family val="2"/>
        <charset val="1"/>
      </rPr>
      <t xml:space="preserve">häufig: Kopfschmerzen, Schwindel, GI-Beschwerden, Alopezie, Pruritus, </t>
    </r>
    <r>
      <rPr>
        <sz val="11"/>
        <color rgb="FF000000"/>
        <rFont val="Calibri"/>
        <family val="2"/>
        <charset val="1"/>
      </rPr>
      <t>selten: Ösophagusstriktur , oropharyngeale Ulzerationen , Perforationen, Ulzera und Blutungen im oberen Gastrointestinaltrakt, Osteonekrose des Kiefers</t>
    </r>
  </si>
  <si>
    <t>Anomalien des Ösophagus (Achalasie, Striktur), Unfähigkeit 30 Min aufrecht zu sitzen/stehen</t>
  </si>
  <si>
    <r>
      <rPr>
        <sz val="11"/>
        <color rgb="FF000000"/>
        <rFont val="Calibri"/>
        <family val="2"/>
        <charset val="1"/>
      </rPr>
      <t xml:space="preserve">Bei oraler Gabe sollten die Anweisungen zur Einnahme sollen genau beachtet werden, weil ansonsten die ohnehin geringe orale Bioverfügbarkeit (&lt; 1%), weiter verringert wird und Nebenwirkungen an der Speiseröhre auftreten können:
Nach dem Aufstehen mit einem vollen Glas Wasser schlucken.
Die Tablette nicht kauen und nicht im Mund auflösen lassen.
Sich frühestens nach 30 Minuten und nach der ersten Nahrungsaufnahme wieder hinlegen.
Nicht vor dem Schlafengehen oder vor dem Aufstehen einnehmen. Hinsweis: Bei onkologischer Indikation (osteolytische Knochenmetastasen) werden Bisphosphonate intravenös verabreicht. </t>
    </r>
    <r>
      <rPr>
        <sz val="11"/>
        <color rgb="FF37761D"/>
        <rFont val="Calibri"/>
        <family val="2"/>
        <charset val="1"/>
      </rPr>
      <t>Das Risiko für Osteonekrosen des Kiefers ist bei diesen Patienten deutlich höher als bei Osteoporose-Patienten. Daher wird eine Zahnsanierung vor Behandlung empfohlen. Alendronat hat aufgrund des Einbaus in den Knochen eine sehr lange Halbwertszeit von bis zu 10 Jahren.</t>
    </r>
  </si>
  <si>
    <t xml:space="preserve">Denosumab </t>
  </si>
  <si>
    <t>Adjuvantien RANKL-Inhibitoren Calcium- und Knochenstoffwechsel Q9 Osteoporose Endokrine Erkrankungen</t>
  </si>
  <si>
    <t>RANKL-Inhibitoren</t>
  </si>
  <si>
    <r>
      <rPr>
        <sz val="11"/>
        <color rgb="FF000000"/>
        <rFont val="Calibri"/>
        <family val="2"/>
        <charset val="1"/>
      </rPr>
      <t xml:space="preserve">Humaner monoklonaler Antikörper gegen ‘Receptor Activator of Nuclear Factor κB
Ligand’ (RANKL); blockiert Bindung von RANKL an RANK auf Osteoklasten und
Vorläuferzellen </t>
    </r>
    <r>
      <rPr>
        <sz val="11"/>
        <color rgb="FF37761D"/>
        <rFont val="Calibri"/>
        <family val="2"/>
        <charset val="1"/>
      </rPr>
      <t>→ Entwicklung &amp; Aktivierung der Osteoklasten verringert, letztlich Osteoklasten-Apoptose, Knochenresorption wird gehemmt &amp; Knochendichte steigt;
Zusätzliche Wirkung auf Differenzierung von Immunzellen, z.B. T- und B-Zellen
--&gt; immunsuppressive Eigenschaften, Infektanfälligkeit</t>
    </r>
  </si>
  <si>
    <t>Osteoporose bei postmenopausalen Frauen zur Prävention von Frakturen, Osteoporose bei Männern mit erhöhtem Frakturrisiko, Krebsleiden mit ostelytischen Knochenmetastasen, Begleittherapie bei Frauen mit Mamma-Karzinom unter Therapie mit Aromatasehemmern, Begleittherapie bei Männern mit Prostatakarzinom unter Hormonablationstherapie</t>
  </si>
  <si>
    <t>Fachinfo, Pharmawiki</t>
  </si>
  <si>
    <t xml:space="preserve">Sehr häufig: Hypokalzämie, Infektionen, Hautausschlag, muskuloskelettale Schmerzen;  selten: Kieferosteonekrose, atypische Femurfraktur </t>
  </si>
  <si>
    <t>Fachinfo, Q9-Vorlesungsskript</t>
  </si>
  <si>
    <t>schwere, unbehandelte Hypokalzämie, nicht verheilte Läsionen aus Zahn-OP oder Operationen in der Mundhöhle</t>
  </si>
  <si>
    <r>
      <rPr>
        <sz val="11"/>
        <color rgb="FF000000"/>
        <rFont val="Calibri"/>
        <family val="2"/>
        <charset val="1"/>
      </rPr>
      <t>Im Unterschied zu Bisphosphonaten wird Denosumab nicht im Knochen gespeichert (Halbwertszeit ca. 1 Monat). Daher steigt das Frakturrisiko nach Absetzen der Behandlung wieder an (Rebound).</t>
    </r>
    <r>
      <rPr>
        <sz val="11"/>
        <color rgb="FF37761D"/>
        <rFont val="Calibri"/>
        <family val="2"/>
        <charset val="1"/>
      </rPr>
      <t xml:space="preserve"> Dosierung bei Osteoporose: 60 mg (Prolia) subkutan alle 6 Monate, rasche Wirkung (Knochenresorptionsmarker sinken innerhalb weniger Tage); Anwendung hochdosiert bei Knochenmetastasen: 120 mg (Xgeva) → höheres Risiko für Osteonekrosen</t>
    </r>
  </si>
  <si>
    <t>RANKL.jpg</t>
  </si>
  <si>
    <t xml:space="preserve">Mutschler Arzneimittelwirkungen, 11. Auflage, S. 697, Abb. 62.4 </t>
  </si>
  <si>
    <t>Teriparatid</t>
  </si>
  <si>
    <t xml:space="preserve">Adjuvantien Knochenstoffwechsel Parathormon-Rezeptor Agonist Peptiderge Systeme Q9 Osteoporose </t>
  </si>
  <si>
    <t>Parathormon-Rezeptor Agonist</t>
  </si>
  <si>
    <t xml:space="preserve">Aktives Fragment des endogenen Parathormons (rh-PTH 1-34) → stimuliert Knochenaufbau (osteoanabol) und steigert zudem intestinale Calcium-Resorption sowie tubuläre Rückresorption von Calcium, verstärkt renale Phosphatelimination </t>
  </si>
  <si>
    <t xml:space="preserve">Behandlung der Osteoporose bei postmenopausalen Frauen und bei Männern mit hohem Frakturrisiko; Behandlung der Glucocorticoid-induzierten Osteoporose </t>
  </si>
  <si>
    <r>
      <rPr>
        <sz val="11"/>
        <color rgb="FF000000"/>
        <rFont val="Calibri"/>
        <family val="2"/>
        <charset val="1"/>
      </rPr>
      <t xml:space="preserve">Sehr häufig: Hypercalcurie/-ämie, </t>
    </r>
    <r>
      <rPr>
        <sz val="11"/>
        <color rgb="FF37761D"/>
        <rFont val="Calibri"/>
        <family val="2"/>
        <charset val="1"/>
      </rPr>
      <t>Kopfschmerzen, Schwindel, Erythem an Einstichstelle; häufig: Palpitationen, Depression, Anämie, Hypotonie, Dyspnoe</t>
    </r>
  </si>
  <si>
    <r>
      <rPr>
        <sz val="11"/>
        <color rgb="FF000000"/>
        <rFont val="Calibri"/>
        <family val="2"/>
        <charset val="1"/>
      </rPr>
      <t xml:space="preserve">Schwangerschaft und Stillzeit, vorbestehende Hyperkalzämie, schwere Niereninsuffizienz, </t>
    </r>
    <r>
      <rPr>
        <sz val="11"/>
        <color rgb="FF37761D"/>
        <rFont val="Calibri"/>
        <family val="2"/>
        <charset val="1"/>
      </rPr>
      <t>metabolische Knochenerkrankungen, ungeklärte Erhöhung der alkalischen Phosphatase, vorausgegangene Strahlentherapie,</t>
    </r>
    <r>
      <rPr>
        <sz val="11"/>
        <color rgb="FF000000"/>
        <rFont val="Calibri"/>
        <family val="2"/>
        <charset val="1"/>
      </rPr>
      <t xml:space="preserve"> maligne Skeletterkrankungen oder Knochenmetastasen </t>
    </r>
  </si>
  <si>
    <t>Subkutane Gabe, maximale Anwendungsdauer: 24 Monate (osteoanabole Wirkung → Erhöhung des Risikos für Osteosarkome), nach Therapieende ist der osteoanabole Effekt rasch reversibel. Daher sollte anschließend eine antiresorptive Therapie (z.B. mit Bisphosphonaten) erfolgen.</t>
  </si>
  <si>
    <t>131Iodid</t>
  </si>
  <si>
    <t xml:space="preserve">Schilddrüse Tumortherapeutika Endokrine Erkrankungen Beta-Strahler Physikalische Wirkprinzipien </t>
  </si>
  <si>
    <t>Beta-Strahler</t>
  </si>
  <si>
    <t xml:space="preserve">Radioaktives Jod-Isotop (Beta- und Gammastrahler) mit 8 Tagen Halbwertszeit, wird in der Schilddrüse gespeichert </t>
  </si>
  <si>
    <t>Zur Radiojodtherapie bei Schilddrüsenautonomie, Morbus Basedow, Schilddrüsenvergrößerung, Jod-speichernde Schilddrüsenkarzinome (follikulär und papillär)</t>
  </si>
  <si>
    <t>gehealthcare</t>
  </si>
  <si>
    <t xml:space="preserve">Sehr häufig: Siccasyndrom, GI-Beschwerden, Strahlungsthyroiditis </t>
  </si>
  <si>
    <r>
      <rPr>
        <sz val="11"/>
        <color rgb="FF000000"/>
        <rFont val="Calibri"/>
        <family val="2"/>
        <charset val="1"/>
      </rPr>
      <t xml:space="preserve">Schwangerschaft (bis zu 6 Mo nach Therapie nicht empfohlen), Dysphagie, Ösophagusstenose, Erosionen oder Ulcera des Magens, oder verlangsamte Magenpassage </t>
    </r>
    <r>
      <rPr>
        <sz val="11"/>
        <color rgb="FF37761D"/>
        <rFont val="Calibri"/>
        <family val="2"/>
        <charset val="1"/>
      </rPr>
      <t>(wird in geringen Mengen von Speicheldrüsen und Magneschleimhaut aufgenommen)</t>
    </r>
  </si>
  <si>
    <t>Raloxifen</t>
  </si>
  <si>
    <t>Sexualhormone Selektive Estrogenrezeptor-Modulatoren (SERMs) Osteoporose Endokrine Erkrankungen</t>
  </si>
  <si>
    <t>Sexualhormone</t>
  </si>
  <si>
    <t>Selektive Estrogenrezeptor-Modulatoren (SERMs)</t>
  </si>
  <si>
    <r>
      <rPr>
        <sz val="10"/>
        <rFont val="Arial"/>
        <charset val="1"/>
      </rPr>
      <t xml:space="preserve">WM: selektiv agonistische &amp; antagonistische Wirkungen auf ötrogenempfindliche Gewebe mit hoher Affinität zum Östrogenrezeptor
W: 
Agonistisch: Knochen- und teilweise Cholesterinstoffwechsel </t>
    </r>
    <r>
      <rPr>
        <sz val="10"/>
        <color rgb="FF37761D"/>
        <rFont val="Arial"/>
        <charset val="1"/>
      </rPr>
      <t>→ Gesamt- und LDL-Cholesterin sinken
Skelettwirkung: 
Knochenresorption sinkt, renale Calciumverluste sinken → positive Calciumbilanz → normale Knochenarchitektur → signifikante Reduktion des LDL- und Gesamtcholesterin, aber kardiovaskuläre Ereignisse +/- → erhöhte Inzidenz venöser thromboemblischer Ereignisse (v. a. erste 4 Monate)</t>
    </r>
  </si>
  <si>
    <t>Q9-VL_Endokrine Erkrankungen-Osteoporose-Schilddrüse_WS2122_16Sep2021.pdf</t>
  </si>
  <si>
    <t>postmenopausale Osteoporose mit hohem Risiko (47 % relative Risikoreduktion vertebraler Frakturen, bei vorbestehender Fraktur 31 %)</t>
  </si>
  <si>
    <r>
      <rPr>
        <sz val="10"/>
        <rFont val="Arial"/>
        <charset val="1"/>
      </rPr>
      <t xml:space="preserve">Vasodilatation (Hitzewallungen), Grippe-ähnliche Symptome (alles sehr häufig), Wadenkrämpfe (häufig), </t>
    </r>
    <r>
      <rPr>
        <sz val="10"/>
        <color rgb="FF37761D"/>
        <rFont val="Arial"/>
        <charset val="1"/>
      </rPr>
      <t>venöse thromboembolische Ereignisse (gelegentlich), 
CAVE: Nach 21 Monaten : 
männliche Mäuse → testikuläre Interstitialtumore, Prostataadenome und Prostatakarzinome erhöht
Weibliche Mäuse Ovarialkarnzinome erhöht</t>
    </r>
  </si>
  <si>
    <t>Gebärfähige Frauen, thromboembolische Ereignisse (bestehend oder Vorgeschichte), z. B. tiefe Venenthrombose, Lungenembolie, Retina-Venenthrombose, eingeschränkte Leberfunktion, Cholestase, eingeschränkte Nierenfunktion, ungeklärte Uterusblutungen, Endometriumkarzinom</t>
  </si>
  <si>
    <t>Wechselwirkung mit Cholestyramin → blockiert enterohepatischen Kreislauf → Wirkungsabschwächung; Antacida → POB deutlich reduziert</t>
  </si>
  <si>
    <t xml:space="preserve">Carboplatin </t>
  </si>
  <si>
    <t xml:space="preserve">Tumortherapeutika </t>
  </si>
  <si>
    <t>Chemotherapeutika Platinderivate Ovarialkarzinom kleinzelliges Brochialkarzinom Klassische Zytostase Q9</t>
  </si>
  <si>
    <t xml:space="preserve">Klassische Zytostase </t>
  </si>
  <si>
    <t>Platinderivate</t>
  </si>
  <si>
    <t>Enthält ein komplex gebundenes Platinatom. Die Wirkung gegen Tumorzellen erfolgt durch eine Quervernetzung innerhalb und zwischen DNA-Strängen, die dadurch funktionsunfähig werden 
W:
 zytostatisch, antitumoral</t>
  </si>
  <si>
    <t>Fachinfo
https://www.pharmawiki.ch/wiki/index.php?wiki=carboplatin</t>
  </si>
  <si>
    <t>Mono-/Kombinationstherapie bei epithelialem Ovarialkarzinom und kleinzelligem Bronchialkarzinom, Mammakarzinom, Hodenkrebs</t>
  </si>
  <si>
    <r>
      <rPr>
        <sz val="11"/>
        <color rgb="FF000000"/>
        <rFont val="Calibri"/>
        <family val="2"/>
        <charset val="1"/>
      </rPr>
      <t xml:space="preserve">sehr häufig: Panzytopenie, Erbrechen, Übelkeit, Bauchschmerzen, </t>
    </r>
    <r>
      <rPr>
        <sz val="11"/>
        <color rgb="FF37761D"/>
        <rFont val="Calibri"/>
        <family val="2"/>
        <charset val="1"/>
      </rPr>
      <t>Subklinische Abnahme der Hörschärfe im Hochfrequenzbereich,</t>
    </r>
    <r>
      <rPr>
        <sz val="11"/>
        <color rgb="FF000000"/>
        <rFont val="Calibri"/>
        <family val="2"/>
        <charset val="1"/>
      </rPr>
      <t xml:space="preserve"> verminderte Kreatinin-Clearance, Hyperurikämie häufig: </t>
    </r>
    <r>
      <rPr>
        <sz val="11"/>
        <color rgb="FF37761D"/>
        <rFont val="Calibri"/>
        <family val="2"/>
        <charset val="1"/>
      </rPr>
      <t xml:space="preserve">Infektionen, Blutungen, </t>
    </r>
    <r>
      <rPr>
        <sz val="11"/>
        <color rgb="FF000000"/>
        <rFont val="Calibri"/>
        <family val="2"/>
        <charset val="1"/>
      </rPr>
      <t xml:space="preserve">Neuropathie, Ototoxisch, </t>
    </r>
    <r>
      <rPr>
        <sz val="11"/>
        <color rgb="FF37761D"/>
        <rFont val="Calibri"/>
        <family val="2"/>
        <charset val="1"/>
      </rPr>
      <t>Überempfindlichkeit</t>
    </r>
  </si>
  <si>
    <r>
      <rPr>
        <sz val="11"/>
        <color rgb="FF000000"/>
        <rFont val="Calibri"/>
        <family val="2"/>
        <charset val="1"/>
      </rPr>
      <t xml:space="preserve">Schwere Nierenfunktionsstörung (GFR&lt;30 ml/Min), Myelosuppression, </t>
    </r>
    <r>
      <rPr>
        <sz val="11"/>
        <color rgb="FF37761D"/>
        <rFont val="Calibri"/>
        <family val="2"/>
        <charset val="1"/>
      </rPr>
      <t xml:space="preserve">blutende Tumore, glz. Anwendung eines Gelbfieberimpfstoffes </t>
    </r>
  </si>
  <si>
    <t>Carboplatin wird als Infusion meist über 15 bis 60 Minuten intravenös appliziert, meist im Abstand von einigen Wochen und in Kombination mit anderen Chemotherapeutika.</t>
  </si>
  <si>
    <t xml:space="preserve">6-Mercaptopurin </t>
  </si>
  <si>
    <t>Immunsuppressiva Chemotherapeutika Chronisch-entzündliche Darmerkrankung Akute Leukämie Purin-Analoga Klassische Zytostase Q9</t>
  </si>
  <si>
    <t>Purin-Analoga</t>
  </si>
  <si>
    <t>Hemmt als Antimetabolit intrazellulär die Purinsynthese 
W:
Zytotoxisch, immunsuppressiv</t>
  </si>
  <si>
    <t>PharmaWiki
https://www.pharmawiki.ch/wiki/index.php?wiki=Mercaptopurin</t>
  </si>
  <si>
    <t>Akute Leukämien, CML, chronisch-entzündliche Darmerkrankung</t>
  </si>
  <si>
    <t>Myelosuppression (Leukopenie, Granulozytopenie, Thrombozytopenie, Anämie) Blutungsneigung, Cholestase, Lebertoxizität, Übelkeit und Erbrechen; selten: Neoplasien (einschl. Lymphome, Hautkrebserkrankungen)</t>
  </si>
  <si>
    <t>Nicht gemeinsam mit einem Gelbfieberimpfstoff verabreichen</t>
  </si>
  <si>
    <t>wöchentliche Blutbild- und Leberwertkontrollen; bei Kombination mit Xanthinoxidase-Hemmstoffen (z.B. Allopurinol) sollte die Dosis auf ein Viertel reduziert werden; Abbau über die Thiopurinmethyltransferase → bei Polymorphismen können ungewöhnlich starke Reaktionen auftreten</t>
  </si>
  <si>
    <t>Azathioprin - Metabolisierung</t>
  </si>
  <si>
    <t xml:space="preserve">Br J Dermatol, Volume: 151, Issue: 6, Pages: 1123-1132, First published: 09 December 2004, DOI: (10.1111/j.1365-2133.2004.06323.x) </t>
  </si>
  <si>
    <t xml:space="preserve">Azathioprin </t>
  </si>
  <si>
    <t>Immunsuppressiva Rheumatologische Erkrankungen Chronisch-entzündliche Darmerkrankung Purin-Analoga Abstoßungsreaktionen nach Transplantation Klassische Zytostase Q9</t>
  </si>
  <si>
    <t>Imidazol-Derivat von 6-Mercaptopurin → hemmt Immunantwort und Tumorwachstum, durch 1) Wirkung als Antimetabolit 2) Blockade von SH-Gruppen durch Alkylierung 3) Hemmung der Synthese von immunkompetenten Zellen, 4) Einbau von Purinanaloga in DNA  
W:
Immunsuppressiv</t>
  </si>
  <si>
    <t>Fachinfo
Q9-VL_Gastrointestinaltrakt_WS2122.pdf</t>
  </si>
  <si>
    <t>Kombinationspartner gegen Abstoßungsreaktionen nach Transplantation; steroidabhängiger bzw. -refraktärer Verlauf bei: SLE, Rheumatoider Arthritis, chronisch-entzündliche Darmerkrankungen, Dermatomyositis, Hämolytische Anämie, ITP, Autoimmunhepatitis, Polyarteriitis nodosa</t>
  </si>
  <si>
    <t>Sehr häufig: Infektionen, Myelosuppression (Leukopenie, Granulozytopenie, Thrombozytopenie, Anämie), Übelkeit und Anorexie, Pankreatitis, Leberfunktionsstörungen, selten: Neoplasien (einschl. Lymphome, Hautkrebserkrankungen)</t>
  </si>
  <si>
    <t xml:space="preserve">Schwere Infektionen, Lebertoxizität, Myelosuppression,  Pankreatitis, Impfungen mit Lebendimpfstoffen, Schwangerschaft und Stillzeit </t>
  </si>
  <si>
    <t xml:space="preserve">5-Fluorouracil </t>
  </si>
  <si>
    <t>Chemotherapeutika Pyrimidin-Analoga kolorektales Karzinom Klassische Zytostase Q9</t>
  </si>
  <si>
    <t xml:space="preserve">Pyrimidin-Analoga </t>
  </si>
  <si>
    <r>
      <rPr>
        <sz val="11"/>
        <color rgb="FF6AA84F"/>
        <rFont val="Calibri"/>
        <family val="2"/>
        <charset val="1"/>
      </rPr>
      <t>Strukturelle Ähnlichkeit mit der Pyrimidinbase Uracil → Einbau in die RNA ; zusätzlich Hemmung der Thyidilatsynthase als Schlüsselenzym der Pyrimidinsynthese</t>
    </r>
    <r>
      <rPr>
        <sz val="11"/>
        <color rgb="FF000000"/>
        <rFont val="Calibri"/>
        <family val="2"/>
        <charset val="1"/>
      </rPr>
      <t xml:space="preserve"> → Hemmung von DNA- und RNA–Synthese und Induktion von Strangbrüchen 
W: 
Zytostatisch</t>
    </r>
  </si>
  <si>
    <t>Fachinfo
https://www.pharmawiki.ch/wiki/index.php?wiki=5_Fluorouracil</t>
  </si>
  <si>
    <t>fortgeschrittenes kolorektales Karzinom, Magen-, Pankreas- und/oder metastasiertes Mamma-CA</t>
  </si>
  <si>
    <t xml:space="preserve">Infektionen, Immun- und Myelosuppression, Hyperurikämie, Ischämie-typische EKG-Veränderungen, GI-Beschwerden, Bronchospasmus, Fieber, AZ-Verschlechterung, Alopezie, Hand-Fuß-Syndrom </t>
  </si>
  <si>
    <t xml:space="preserve">Knochenmarkdepression, schwere Blutbildveränderungen und Leberfunktionsstörungen, schwere Infektionen, schlechter Allgemeinzustand, DPD (Dehydropyrimidin-Dehydrogenase)-Mangel oder Therapie mit Brivudin (hemmt DPD), Stillende Frauen </t>
  </si>
  <si>
    <t xml:space="preserve">5-Fluorouracil wird häufig mit Folinsäure kombiniert (Calciumfolinat, Natriumfolinat), um dessen zytotoxische Aktivität zu erhöhen (z.B. beim FOLFOX- oder FOLFIRI-Schema). Folinsäure verstärkt die Hemmung der Thymidilat-Synthase durch Erhöhung des intrazellulären Folatpools. </t>
  </si>
  <si>
    <t xml:space="preserve">Irinotecan </t>
  </si>
  <si>
    <t>Chemotherapeutika Topoisomerase-I-Inhibitor (TOPO-I-Inhibitor) kolorektales Karzinom Klassische Zytostase Q9</t>
  </si>
  <si>
    <t>Topoisomerase-I-Inhibitor (TOPO-I-Inhibitor)</t>
  </si>
  <si>
    <t xml:space="preserve">Topoisomerase-I-Inhibitor (TOPO-I-Inhibitor) </t>
  </si>
  <si>
    <r>
      <rPr>
        <sz val="11"/>
        <color rgb="FF6AA84F"/>
        <rFont val="Calibri"/>
        <family val="2"/>
        <charset val="1"/>
      </rPr>
      <t>Topoisomerase I entspannt während der Replikation die Verdrillung der DNA-Stränge als Voraussetzung für die Transkription;</t>
    </r>
    <r>
      <rPr>
        <sz val="11"/>
        <color rgb="FF000000"/>
        <rFont val="Calibri"/>
        <family val="2"/>
        <charset val="1"/>
      </rPr>
      <t xml:space="preserve"> Inhibitor der Topoisomerase-I → gestörte DNA-Replikation, Strangbrüche → Zelltod (Apoptose)
W:
Zytotoxisch, antitumoral</t>
    </r>
  </si>
  <si>
    <t>DocCheck 
https://www.pharmawiki.ch/wiki/index.php?wiki=irinotecan</t>
  </si>
  <si>
    <t>Zur Behandlung von Kolorektalem Karzinom als Mono- oder Kombinationstherapie</t>
  </si>
  <si>
    <t xml:space="preserve">Veränderungen des Blutbildes und der -werte, GI-Beschwerden, Reaktion der Haut und am Verabreichungsort </t>
  </si>
  <si>
    <t xml:space="preserve">CED, Darmverschluss, Bili über dem 3fachen des Normwertes, Stillzeit, schwere KM-Depression, WHO-Performance &gt;2, glz Einnahme von Johanniskraut, oder Lebendimpfstoffen </t>
  </si>
  <si>
    <t>meist in Kombination mit Folinsäure und 5-Fluorouracil eingesetzt</t>
  </si>
  <si>
    <t>Irinotecan.jpg</t>
  </si>
  <si>
    <t>https://www.gelbe-liste.de/wirkstoffe/Irinotecan_41267</t>
  </si>
  <si>
    <t xml:space="preserve">Etoposid </t>
  </si>
  <si>
    <t>Chemotherapeutika Topoisomerase-II-Inhibitor (TOPO-II-Inhibitor) Non-Hodgkin Hodgkin Lymphom Klassische Zytostase Q9</t>
  </si>
  <si>
    <t xml:space="preserve">Topoisomerase-II-Inhibitor (TOPO-II-Inhibitor) </t>
  </si>
  <si>
    <t>Komplexbildung mit Topoisomerase II Hemmung der Transkription → Strangbrüche, Zelltod (Apoptose)
W:
Zytostatisch</t>
  </si>
  <si>
    <t>DocCheck 
https://www.pharmawiki.ch/wiki/index.php?wiki=etoposid</t>
  </si>
  <si>
    <t>Kombitherapie bei: Non-Hodgkin und Hodgkin-Lymphom, Kleinzelliges Bronchialkarzinom, AML, Hodenkarzinom,Chorionkarzinom</t>
  </si>
  <si>
    <t>sehr häufig: Myelosuppression, Störungen des ZNS, GI-Beschwerden, Alopezie, AZ-Verschlechterung, häufig: Kardiotoxizität, Entwicklung einer sek. Leukämie, Anaphylaxie, Blutungen und Hypotonie</t>
  </si>
  <si>
    <t xml:space="preserve">schwere Leber- und Nierenfunktionsstörungen, Schwangerschaft und Stillzeit, glz. Anwendung von Lebendimpfstoffen </t>
  </si>
  <si>
    <t>Etoposid wird im Rahmen des PEB-Schemas (mit Cisplatin und Bleomycin) sowie im Rahmen des EPOCH-Schemas (mit Prednisolon, Vincristin, z.B. Oncovin, Cyclophosphamid und Hydroxydaunorubicin) kombiniert.</t>
  </si>
  <si>
    <t xml:space="preserve">Tamoxifen </t>
  </si>
  <si>
    <t>Hormontherapeutikum Selektive Estrogen-Rezeptor-Modulatoren Sexualhormone Q9 Gynäkologika Mammakarzinom</t>
  </si>
  <si>
    <t xml:space="preserve">Sexualhormone </t>
  </si>
  <si>
    <t xml:space="preserve">Selektive Estrogen-Rezeptor-Modulatoren </t>
  </si>
  <si>
    <t>Hemmt kompetitiv die Bindung von Östrogen an zytoplasmatische Hormonrezeptoren → Verringerung der Zellteilungsaktivität in östrogenabhängigen Geweben
W:
antiproliferativ, antitumoral</t>
  </si>
  <si>
    <t>Fachinfo
https://www.pharmawiki.ch/wiki/index.php?wiki=tamoxifen</t>
  </si>
  <si>
    <t>Adjuvante Therapie nach Primärbehandlung des Mamma-CA, Metastasiertes Mamma-CA</t>
  </si>
  <si>
    <t xml:space="preserve">Sehr häufig: Übelkeit, Hautausschlag, Flüssigkeitsretention, häufig: Anämie, Thromboembolie, Zyklusveränderungen CAVE: Endometriumkarzinom, Agranulozytose </t>
  </si>
  <si>
    <t xml:space="preserve">Kinder, Schwangerschaft, Stillzeit </t>
  </si>
  <si>
    <t>Das Prodrug Tamoxifen wird hauptsächlich durch CYP3A4 zu N-Desmethyl-Tamoxifen und anschließend durch CYP2D6 zu 4-Hydroxy-N-Desmethyl-Tamoxifen (Endoxifen) metabolisiert und dadurch aktiviert. Die Metabolite zeigen im Vergleich zu Tamoxifen eine erhöhte Affinität. Bei Vorliegen von Polymorphismen des CYP2D6-Gens variiert daher das Ansprechen der Patienten auf eine Tamoxifen-Therapie. Patienten, die vermindert auf Tamoxifen ansprechen, bezeichnet man als Poor Metabolizer.</t>
  </si>
  <si>
    <t xml:space="preserve">Epoetin </t>
  </si>
  <si>
    <t>Adjuvantien Endokrine Erkrankungen Erythropoetinrezeptor-Agonisten chronische Niereninsuffizienz Wachstumsfaktoren Q9</t>
  </si>
  <si>
    <t xml:space="preserve">Wachstumsfaktoren </t>
  </si>
  <si>
    <t xml:space="preserve">Erythropoetinrezeptor-Agonisten </t>
  </si>
  <si>
    <t xml:space="preserve">WM:
Biotechnologisch hergestelltes Glykoproteinhormon, das an den EPO-Rezeptor der Vorläuferzellen von Erythrozyten bindet und eine intrazelluläre Signalkaskade auslöst
W:
Proliferation von Erythrozyten aus Vorläuferzellen im Knochenmark 
</t>
  </si>
  <si>
    <t>Fachinfo
https://www.gelbe-liste.de/wirkstoffe/Epoetin-alfa_21297</t>
  </si>
  <si>
    <t>Bei chronischer Niereninsuffizienz, zur Reduktion des Transfusionsbedarfs bei Anämien im Rahmen maligner Erkrankungen oder zur Vorbereitung einer Eigenblutspende</t>
  </si>
  <si>
    <r>
      <rPr>
        <sz val="11"/>
        <color rgb="FF000000"/>
        <rFont val="Calibri"/>
        <family val="2"/>
        <charset val="1"/>
      </rPr>
      <t xml:space="preserve">Am häufigsten Anstieg des RR und Verschlechterung einer bestehenden Hypertonie, </t>
    </r>
    <r>
      <rPr>
        <sz val="11"/>
        <color rgb="FF6AA84F"/>
        <rFont val="Calibri"/>
        <family val="2"/>
        <charset val="1"/>
      </rPr>
      <t xml:space="preserve">Diarrhö, Übelkeit, Erbrechen, Fieber, Kopfschmerzen und Grippe-ähnliche Symptome </t>
    </r>
  </si>
  <si>
    <t>Erythroblastopenie in der Vorgeschichte, unkontrollierter Bluthochdruck</t>
  </si>
  <si>
    <t xml:space="preserve">Im Rahmen der erweiterten Anämiediagnostik kann der Erythropoetin-Spiegel bestimmt werden. Dies kommt zum Beispiel bei Dialysepatienten in Frage. Zudem wird der Erythropoetin-Spiegel als Tumormarker zur Verlaufsbeurteilung bei Tumoren mit paraneoplastischer Erythropoetinbildung gemessen. </t>
  </si>
  <si>
    <t xml:space="preserve">Filgrastim </t>
  </si>
  <si>
    <t>Adjuvantien G-CSFR Agonisten Neutropenie Wachstumsfaktoren Q9</t>
  </si>
  <si>
    <t xml:space="preserve">G-CSFR Agonisten </t>
  </si>
  <si>
    <t>Biotechnologisch hergestelltes Glykoprotein, das die Entstehung von Granulozyten und die Freisetzung aus dem Knochenmark reguliert → Steigerung der Granulozytenzahl im peripheren Blut (G-CSFR: Granulocyte colony stimulating factor receptor)</t>
  </si>
  <si>
    <t xml:space="preserve">Bei Neutropenie (kongenital, bei Chemotherapie oder im Rahmen maligner Erkrankungen)und zur Mobilisierung peripherer Blutstammzellen </t>
  </si>
  <si>
    <t>sehr häufig: Sepsis, Infektion der oberen Atemwege, HWI, Thrombozytopenie, Kopfschmerzen, GI-Beschwerden, Alopezie, Schleimhautentzündung, AZ-Verschlechterung</t>
  </si>
  <si>
    <t xml:space="preserve">Leber-/Nierenversagen; keine Anwendung 24h vor oder nach Chemo </t>
  </si>
  <si>
    <t>Aflibercept</t>
  </si>
  <si>
    <t xml:space="preserve">Augenheilkunde Makuladegeneration VEGF- Inhibitoren kolorektales Karzinom Wachstumsfaktoren </t>
  </si>
  <si>
    <t xml:space="preserve">VEGF- Inhibitoren </t>
  </si>
  <si>
    <t>Hochaffines, rekombinantes Fusionsprotein, das als löslicher Rezeptor fungiert und an den VEGF-Rezeptor bindet. Dadurch werden die Proliferation von Endothelzellen und die Neovaskularisation/Angiogenese gehemmt</t>
  </si>
  <si>
    <t>Bei Oxaliplatin-refraktärem metastasiertem Kolorektalem Karzinom, bei altersabhängiger neovaskulärer (feuchter) Makuladegeneration</t>
  </si>
  <si>
    <t xml:space="preserve">Sehr häufig: Infektion, Panzytopenie, Appetit-/Gewichtsverlust, Hypertonie, Blutung, Dyspnoe, GI-Berschwerden, Veränderung von Leber- und Nierenwerten </t>
  </si>
  <si>
    <t xml:space="preserve">Zur Behandlung der Makuladegeneration am Auge wird Aflibercept intravitreal gespritzt. Zur Behandlung von kolorektalem Karzinom intravenöse GAbe </t>
  </si>
  <si>
    <t xml:space="preserve">Palbociclib </t>
  </si>
  <si>
    <t>Mammakarzinom Gynäkologika CDK-Inhibitor Zielgerichtete Tumorbeeinflussung Q9</t>
  </si>
  <si>
    <t>Zielgerichtete Tumorbeeinflussung</t>
  </si>
  <si>
    <t>CDK-Inhibitor</t>
  </si>
  <si>
    <t>Hochselektiver, reversibler Inhibitor von CDK 4 und 6 → Abschaltung von Signalwegen der Zellproliferation; CDK: Cyclin-abhängige Kinase
W:
Antitumoral, antiproliferativ</t>
  </si>
  <si>
    <t>Fachinfo
https://www.pharmawiki.ch/wiki/index.php?wiki=palbociclib</t>
  </si>
  <si>
    <t xml:space="preserve">Hormonrezeptor-positives, HER-2-neu negatives lokales oder metastasiertes Mamma-CA in Kombi mit Aromatasehemmer oder Fulvestrant; bei prä-/perimenopausalen Frauen sollte die Therapie mir LHRH-Agonisten kombiniert werden </t>
  </si>
  <si>
    <t xml:space="preserve">sehr häufig: Infektionen, Panzytopenie, Appetitminderung, GI-Beschwerden, Hautreaktionen, AZ-Minderung und Leberwertveränderungen </t>
  </si>
  <si>
    <t xml:space="preserve">Glz. Anwendung von Johanniskraut enthaltenden Präparaten </t>
  </si>
  <si>
    <t xml:space="preserve">Trastuzumab </t>
  </si>
  <si>
    <t>Hormontherapeutikum  Mammakarzinom Gynäkologika HER-2-neu-Inhibitor Zielgerichtete Tumorbeeinflussung Q9</t>
  </si>
  <si>
    <t xml:space="preserve">HER-2-neu-Inhibitor </t>
  </si>
  <si>
    <t>Humanisierter monoklonaler Antikörper gegen den HER-2-neu Rezeptor 
W:
Antiproliferativ, zytotoxisch</t>
  </si>
  <si>
    <t>Fachinfo
https://www.pharmawiki.ch/wiki/index.php?wiki=Trastuzumab</t>
  </si>
  <si>
    <t>Mammakarzinom in metastasiertem und im Frühstadium (v.a. eingesetzt zur adjuvanten Therapie zur Senkung der Rezidivrate) sowie metastasiertes Magenkarzinom</t>
  </si>
  <si>
    <r>
      <rPr>
        <sz val="11"/>
        <color rgb="FF000000"/>
        <rFont val="Calibri"/>
        <family val="2"/>
        <charset val="1"/>
      </rPr>
      <t xml:space="preserve">sehr häufig: kardiale Dysfunktion, Kardiotoxizität (EKG vor Therapiebeginn!), </t>
    </r>
    <r>
      <rPr>
        <sz val="11"/>
        <color rgb="FF6AA84F"/>
        <rFont val="Calibri"/>
        <family val="2"/>
        <charset val="1"/>
      </rPr>
      <t>Nasopharyngitis, Infektionen, Panzytopenie (v.a. Neutropenie), Gewichtsverlust, neurologische Symptome (Tremor..), GI-Beschwerden, Husten/Dyspnoe</t>
    </r>
  </si>
  <si>
    <t xml:space="preserve">Überempfindlichkeit gegen Mausproteine oder Hyaluronidase, schwere Ruhedyspnoe </t>
  </si>
  <si>
    <t>bei Herzinsuffizienz: Therapieentscheidung nach individueller Abwägung von Nutzen-RIsiko-Verhältnis</t>
  </si>
  <si>
    <t>Trastuzumab.jpg</t>
  </si>
  <si>
    <t>https://www.gelbe-liste.de/wirkstoffe/Trastuzumab_44816</t>
  </si>
  <si>
    <t xml:space="preserve">Panobinostat </t>
  </si>
  <si>
    <t>Signalwege HDAC-Inhibitor multiples Myelom Zielgerichtete Tumorbeeinflussung</t>
  </si>
  <si>
    <t>HDAC-Inhibitor</t>
  </si>
  <si>
    <t>Hemmt die Histon-Deacetylase → verstärkte Acetylierung von Histonproteinen → Akkumulation von Histonen und Stillstand des Zellzyklus bzw. Apoptose 
W:
Antiproliferativ, zytotoxisch</t>
  </si>
  <si>
    <t>Fachinfo
https://www.pharmawiki.ch/wiki/index.php?wiki=panobinostat</t>
  </si>
  <si>
    <t xml:space="preserve">In Kombination mit Bortezomib und Dexamethason zur Behandlung von rezidivierendem oder refraktärem Multiplen Myelom </t>
  </si>
  <si>
    <t>sehr häufig: Infektionen, Husten, Pneumonie, Panzytopenie, Appetit-/Gewichtsverlust, Elektrolytveränderungen, GI-Beschwerden, Hypotonie</t>
  </si>
  <si>
    <t xml:space="preserve">Stillzeit </t>
  </si>
  <si>
    <t xml:space="preserve">Olaparib </t>
  </si>
  <si>
    <t>Signalwege PARP-Inhibitor Ovarialkarzinom Zielgerichtete Tumorbeeinflussung Q9</t>
  </si>
  <si>
    <t>PARP-Inhibitor</t>
  </si>
  <si>
    <r>
      <rPr>
        <sz val="11"/>
        <color rgb="FF000000"/>
        <rFont val="Calibri"/>
        <family val="2"/>
        <charset val="1"/>
      </rPr>
      <t xml:space="preserve">Potenter Inhibitor des Poly-ADP-Polymerase-Enzyms (Reparatur von Einzelstrangbrüchen) → durch Zytostatika induzierte DNA-Schäden können nicht mehr repariert werden, dadurch wird das Tumorwachstum gehemmt </t>
    </r>
    <r>
      <rPr>
        <sz val="11"/>
        <color rgb="FF37761D"/>
        <rFont val="Calibri"/>
        <family val="2"/>
        <charset val="1"/>
      </rPr>
      <t>v.a. in Tumoren ohne funktionierende homologe Rekombinationsreparatur wie</t>
    </r>
    <r>
      <rPr>
        <sz val="11"/>
        <color rgb="FF000000"/>
        <rFont val="Calibri"/>
        <family val="2"/>
        <charset val="1"/>
      </rPr>
      <t xml:space="preserve"> </t>
    </r>
    <r>
      <rPr>
        <sz val="11"/>
        <color rgb="FF37761D"/>
        <rFont val="Calibri"/>
        <family val="2"/>
        <charset val="1"/>
      </rPr>
      <t>BRCA1/2 oder beim Ovarialkazinom</t>
    </r>
    <r>
      <rPr>
        <sz val="11"/>
        <color rgb="FF000000"/>
        <rFont val="Calibri"/>
        <family val="2"/>
        <charset val="1"/>
      </rPr>
      <t xml:space="preserve"> 
W:
Antitumoral, zytotoxisch</t>
    </r>
  </si>
  <si>
    <t>Fachinfo
https://www.pharmawiki.ch/wiki/index.php?wiki=olaparib</t>
  </si>
  <si>
    <t xml:space="preserve">Als Mono- oder Kombinationstherapie bei Ovarialkarzinom, Bei bestehender BRCA1/2 Mutation: Mammakarzinom nach vorangegangener Chemo und/oder endokriner Therapie, Adenokarzinom des Pankreas, Prostatakarzinom </t>
  </si>
  <si>
    <t xml:space="preserve">Sehr häufig: Panzytopenie, Schwindel, Kopfschmerzen, Husten, Appetitverlust, GI-Beschwerden, Fatigue </t>
  </si>
  <si>
    <t xml:space="preserve">Während der Stillzeit, bis 1 Monat nach der letzten Einnahme sollte nicht gestillt werden </t>
  </si>
  <si>
    <t xml:space="preserve">Pembrolizumab </t>
  </si>
  <si>
    <t>Antikörper PD1-Inhibitor malignes Melanom Zielgerichtete Tumorbeeinflussung Q9</t>
  </si>
  <si>
    <t>PD1-Inhibitor</t>
  </si>
  <si>
    <t>Durch die Bindung an den PD1-Rezeptor (Programmed-Cell-Death-Protein-1-Rezeptor) wird dessen Interaktion mit seinen Liganden PD-L1 und PD-L2 verhindert. Ein Abschalten der T-Zell-Immunantwort durch PD-L1 und PD-L2 exprimierende Tumorzellen wird hierdurch verhindert → Verbesserte T-Zell Antwort auf den Tumor
W:
antitumoral, immunmodulierend</t>
  </si>
  <si>
    <t>Fachinfo
https://www.pharmawiki.ch/wiki/index.php?wiki=pembrolizumab</t>
  </si>
  <si>
    <t xml:space="preserve">Einsatz in verschiedenen Chemotherapien bei Malignem Melanom, Nicht-kleinzelligem Bronchialkarzinom, Klassisches Hodgkin-Lymphom, Urothelkarzinom, Plattenepithelkarzinom des Kopf-Hals-Bereichs, Nierenzellkarzinom, Kolorektales Karzinom, Ösophaguskarzinom, Triple-neg. Mamma-CA und Endometriumkarzinomen </t>
  </si>
  <si>
    <r>
      <rPr>
        <sz val="11"/>
        <color rgb="FF000000"/>
        <rFont val="Calibri"/>
        <family val="2"/>
        <charset val="1"/>
      </rPr>
      <t xml:space="preserve">(UAW auch abh. Von den Kombinationspartnern)wichtigste UAW: Fatigue, Übelkeit und Diarrhö,  </t>
    </r>
    <r>
      <rPr>
        <sz val="11"/>
        <color rgb="FF37761D"/>
        <rFont val="Calibri"/>
        <family val="2"/>
        <charset val="1"/>
      </rPr>
      <t xml:space="preserve">sehr häufig: Pneumonie, HWI, Anämie (Panzytopenie), Hypothyreose, verminderter Appetit, Schlaflosigkeit, Kopfschmerzen, Dyspnoe und Husten, GI-Beschwerden, Hautreaktionen, Muskel und Gelenksbeschwerden, AZ-Verschlechterung, Leberwertveränderungen, </t>
    </r>
  </si>
  <si>
    <t xml:space="preserve">Keine KI außer Überempfindlichkeit </t>
  </si>
  <si>
    <t>Pembrolizumab gehört zu den Immun-Checkpoint-Inhibitoren</t>
  </si>
  <si>
    <t>Pembrolizumab.jpg</t>
  </si>
  <si>
    <t>https://www.gelbe-liste.de/wirkstoffe/Pembrolizumab_53191</t>
  </si>
  <si>
    <t xml:space="preserve">Carfilzomib </t>
  </si>
  <si>
    <t>Proteasom-Inhibitor multiples Myelom Zielgerichtete Tumorbeeinflussung</t>
  </si>
  <si>
    <t xml:space="preserve">Proteasom-Inhibitor </t>
  </si>
  <si>
    <t xml:space="preserve">Bindet selektiv und irreversibel an das aktive Zentrum des Proteasoms -&gt; bewirkt so antiproliferative und proapoptotische Aktivitäten in hämatologischen Tumoren </t>
  </si>
  <si>
    <t xml:space="preserve">Als Kombinationspräparat mit Daratumumab, Dexamethason und Lenalidomid zur Therapie eines Multiplen Myeloms </t>
  </si>
  <si>
    <t>Häufigste UAW: Anämie, Fatigue, Thrombozytopenie, Übelkeit, Diarrhö, Pyrexie, Dyspnoe, Infektion der Atemwege, Husten und Neutropenie, Schwere UAW sind u.a. kardiale, pulmonale Schädigungen, Infektionen, Blutungen und Blutbildveränderungen, Infektionen</t>
  </si>
  <si>
    <t xml:space="preserve">Vemurafenib </t>
  </si>
  <si>
    <r>
      <rPr>
        <sz val="10"/>
        <rFont val="Arial"/>
        <charset val="1"/>
      </rPr>
      <t xml:space="preserve">Melanom RAF-V600E-Inhibitoren Melanom </t>
    </r>
    <r>
      <rPr>
        <sz val="11"/>
        <color rgb="FF000000"/>
        <rFont val="Calibri"/>
        <family val="2"/>
        <charset val="1"/>
      </rPr>
      <t>Zielgerichtete Tumorbeeinflussung</t>
    </r>
  </si>
  <si>
    <t>RAF-V600E-Inhibitoren</t>
  </si>
  <si>
    <t>W: antitumoral, antiproliferativ
WM: Inhibition der BRAF-Kinase. BRAF ist ein wichtiges Element des RAS-RAF-Signalwegs, der an der Steuerung des Zellwachstum beteiligt ist. Mutierte Formen des BRAF-Proteins können eine Überaktivität des Signalwegs hervorrufen, was zu unkontrolliertem Zellwachstum und damit zu Krebs führen kann. Vemurafenib wirkt spezifisch gegen die V600-Mutation von BRAF.</t>
  </si>
  <si>
    <t>https://flexikon.doccheck.com/de/Vemurafenib?utm_source=www.doccheck.flexikon&amp;utm_medium=web&amp;utm_campaign=DC%2BSearch</t>
  </si>
  <si>
    <t>Zur Behandlung eines nicht durch Operation entfernbaren oder metastasierenden Melanoms mit der BRAFV600E-Mutation. Die Mutation muss durch einen von der Arzneimittelbehörde zugelassenen Test nachgewiesen werden.</t>
  </si>
  <si>
    <t>https://www.pharmawiki.ch/wiki/index.php?wiki=vemurafenib</t>
  </si>
  <si>
    <t>Zu den häufigsten möglichen UAW gehören Gelenkschmerzen, Hautausschlag, Haarausfall, Müdigkeit, Photosensibilisierung, Übelkeit, Juckreiz und Papillome. Vemurafenib kann zur Bildung von Plattenepithelkarzinomen führen und das QT-Intervall verlängern.</t>
  </si>
  <si>
    <t>Fachinformation Zelboraf (Roche)</t>
  </si>
  <si>
    <t>Imatinib</t>
  </si>
  <si>
    <r>
      <rPr>
        <sz val="10"/>
        <rFont val="Arial"/>
        <charset val="1"/>
      </rPr>
      <t xml:space="preserve">Tyrosinkinase-Inhibitoren, CML, ALL, Leukämie Tyrosinkinase-Inhibitoren chronisch myeloische Leukämie </t>
    </r>
    <r>
      <rPr>
        <sz val="11"/>
        <color rgb="FF000000"/>
        <rFont val="Calibri"/>
        <family val="2"/>
        <charset val="1"/>
      </rPr>
      <t xml:space="preserve">Zielgerichtete Tumorbeeinflussung </t>
    </r>
    <r>
      <rPr>
        <sz val="10"/>
        <rFont val="Arial"/>
        <charset val="1"/>
      </rPr>
      <t>Q9</t>
    </r>
  </si>
  <si>
    <t>Tyrosinkinase-Inhibitoren</t>
  </si>
  <si>
    <t>W: antiproliferativ und selektiv zytostatisch
WM:  Imatinib ist ein Tyrosinkinase-Inhibitor, der die Aktivität der Bcr-Abl-Tyrosinkinase inhibitiert. Diese Kinase hat eine erhöhte Aktivität im Vergleich zu gesunden Tyrosinkinasen und führt zur unkontrollierten Vervielfältigung von Leukozyten. Imatinib bindet auch an Abl-Proteine, die nicht krebsassoziiert sind, diese Zellen haben allerdings zusätzliche Tyrosinkinasen, wodurch eine Inhibition deren Funktion nicht einschränkt</t>
  </si>
  <si>
    <t>https://www.gelbe-liste.de/wirkstoffe/Imatinib_47277</t>
  </si>
  <si>
    <t>Behandlung der chronisch myeloischen Leukämie (Ph+CML), akute lymphatische Leukämie (Ph+ALL), bestimmte Magen-Darm-Tumore, Hauttumore, das Hypereosinophilensyndrom, atypische myelodysplastische/myeloproliferative Erkrankungen, aggressive systemische Mastozytose</t>
  </si>
  <si>
    <t>Zu den häufigsten möglichen UAW gehören Verdauungsbeschwerden wie Übelkeit, Erbrechen, Durchfall, Dyspepsie und Bauchschmerzen, Ödeme, Ermüdung, Gewichtszunahme, Kopfschmerzen, Muskelkrämpfe, Muskel- und Gelenkschmerzen, Knochenschmerzen, Blutbildveränderungen und Hautausschlag</t>
  </si>
  <si>
    <t>https://www.pharmawiki.ch/wiki/index.php?wiki=imatinib</t>
  </si>
  <si>
    <t>Lenalidomid</t>
  </si>
  <si>
    <r>
      <rPr>
        <sz val="10"/>
        <rFont val="Arial"/>
        <charset val="1"/>
      </rPr>
      <t xml:space="preserve">Multiples Myelom, Lymphom, Ubiquitinierung Ubiquitinierungs-Stimulatoren multiples Myelom </t>
    </r>
    <r>
      <rPr>
        <sz val="11"/>
        <color rgb="FF000000"/>
        <rFont val="Calibri"/>
        <family val="2"/>
        <charset val="1"/>
      </rPr>
      <t>Zielgerichtete Tumorbeeinflussung</t>
    </r>
  </si>
  <si>
    <t>Ubiquitinierungs-Stimulatoren</t>
  </si>
  <si>
    <t>W: immunmodulierend, immunstimulierend, antiproliferativ, proapoptotisch, antiangiogenetisch
WM: Selektive Ubiquitinierung zweier lymphoider Transkriptionsfaktoren (IKZF1 und IKZF3) durch die CRBN-CRL4 Ubiquitinligase, wodurch diese im Proteasom abgebaut werden</t>
  </si>
  <si>
    <t>https://flexikon.doccheck.com/de/Lenalidomid?utm_source=www.doccheck.flexikon&amp;utm_medium=web&amp;utm_campaign=DC%2BSearch
https://www.pharmawiki.ch/wiki/index.php?wiki=lenalidomid</t>
  </si>
  <si>
    <t>Multiples Myelom, Patienten mit transfusionsabhängiger Anämie infolge eines myelodysplastischen Syndroms mit niedrigem oder intermediärem Risiko 1 in Verbindung mit einer zytogenetischen Deletion 5q-Anomalie mit oder ohne weitere zytogenetische Anomalien, Mantelzell-Lymphom, follikuläres Lymphom</t>
  </si>
  <si>
    <t>https://www.pharmawiki.ch/wiki/index.php?wiki=lenalidomid</t>
  </si>
  <si>
    <t>Zu den häufigsten möglichen UAW gehören Atemwegsinfektionen, Infektionen, Tumore-Flare-Reaktionen, Neutropenie, Blutbildstörungen, Hypokalzämie, Appetitmangel, Hyponatriämie, Hypokaliämie, Dehydration, Gewichtsabnahme, Hyperglykämie, Hypoglykämie, Schlaflosigkeit, Depressionen, periphere Neuropathie, gestörte Geschmacksempfindung, Schwindel, Parästhesie, Kopfschmerzen, verschwommenes Sehen, grauer Star, tiefer Blutdruck, tiefe Venenthrombose, Dyspnoe, Husten, veränderte Leberenzyme, Verdauungsstörungen, Hautausschlag, Juckreiz, trockene Haut, Muskelschmerzen, Rückenschmerzen, Knochenschmerzen, Gliederschmerzen, Gelenkschmerzen, Müdigkeit, Schwäche, periphere Ödeme, Fieber</t>
  </si>
  <si>
    <t>Überempfindlichkeit, Schwangerschaft, Gebärfähige Frauen, außer wenn alle Bedingungen des Schwangerschaftsverhütungsprogramms erfüllt sind (Lenalidomid ist mit dem teratogenen Thalidomid verwandt, das Missbildungen beim ungeborenen Kind verursachen kann)</t>
  </si>
  <si>
    <t xml:space="preserve">Bevacizumab </t>
  </si>
  <si>
    <r>
      <rPr>
        <sz val="10"/>
        <rFont val="Arial"/>
        <charset val="1"/>
      </rPr>
      <t xml:space="preserve">VEGF-Inhibitoren Kolonkarzinom Rektumkarzinom </t>
    </r>
    <r>
      <rPr>
        <sz val="11"/>
        <color rgb="FF000000"/>
        <rFont val="Calibri"/>
        <family val="2"/>
        <charset val="1"/>
      </rPr>
      <t xml:space="preserve">Zielgerichtete Tumorbeeinflussung </t>
    </r>
    <r>
      <rPr>
        <sz val="10"/>
        <rFont val="Arial"/>
        <charset val="1"/>
      </rPr>
      <t>Q9</t>
    </r>
  </si>
  <si>
    <t>VEGF-Inhibitoren</t>
  </si>
  <si>
    <t>W: antiangiogenetisch, antiproliferativ, antitumoral
WM: Der Antikörper hemmt die Bindung von VEGF (vascular endothelial growth factor) an seine Rezeptoren VEGFR-1 und VEGFR-2 auf der Oberfläche von Endothelzellen. VEGF stimuliert die Neubildung von Blutgefäßen. Durch seine Hemmung wird die Angiogenese in Tumoren reduziert und das Tumorwachstum wird gebremst.</t>
  </si>
  <si>
    <t>https://www.pharmawiki.ch/wiki/index.php?wiki=bevacizumab</t>
  </si>
  <si>
    <t>metastasiertes Kolon- oder Rektumkarzinom, metastasiertes Mammakarzinom, fortgeschrittenes, metastasiertes oder rezidivierendes nicht-kleinzelliges Lungenkarzinom (NSCLC), fortgeschrittenes und/oder metastasierendes Nierenzellkarzinom, Glioblastom, Ovarialkarzinom, Zervixkarzinom</t>
  </si>
  <si>
    <t>Zu den häufigsten UAW gehören Bluthochdruck, Proteinurie, Müdigkeit, Schwäche, Durchfall, Übelkeit und Bauchschmerzen</t>
  </si>
  <si>
    <t>Überempfindlichkeit, Schwangerschaft</t>
  </si>
  <si>
    <t>Off-Label-Einsatz in der Augenheilkunde zur Behandlung der feuchten Makuladegeneration, wirkt wie Ranibizumab</t>
  </si>
  <si>
    <t>Fenoterol </t>
  </si>
  <si>
    <t>Atemwegserkrankungen</t>
  </si>
  <si>
    <t>Asthma COPD Geburtshilfe Gynäkologika Beta-2-Adrenozeptor-Agonisten Adrenerges System Q9</t>
  </si>
  <si>
    <t>Adrenerges System </t>
  </si>
  <si>
    <t>Beta-2-Adrenozeptor-Agonisten </t>
  </si>
  <si>
    <t>WM:
Rasch und kurzwirksames Beta-2-Mimetikum, wirkt agonistisch auf die Beta-2-Rezeptoren der Bronchialmuskulatur 
W:
Bronchodilatation. Am Uterus wirkt Fenoterol hemmend auf die Wehentätigkeit (tokolytisch). Wirkdauer nach inhalativer Gabe: 3-5 Stunden</t>
  </si>
  <si>
    <t>Q9-Vorlesungsskript, DocCheck Flexikon</t>
  </si>
  <si>
    <t>Bronchospasmolyse bei Asthma bronchiale und COPD (inhalative Gabe), Tokolyse (systemische Gabe)</t>
  </si>
  <si>
    <t>Tremor, Husten, Kopfschmerzen, Tachykardien, AP-Beschwerden, Palpitationen, Hypokaliämie und Hyperglykämie (häufig bis sehr häufig bei systemischer Gabe zur Tokolyse, bei inhalativer Gabe sind UAW deutlich schwächer ausgeprägt)</t>
  </si>
  <si>
    <t>Überempfindlichkeit, CAVE bei kardialen Vorerkrankungen, Hypertonien, Herzglykoside, Hyperthyreose, Diabetes mellitus </t>
  </si>
  <si>
    <r>
      <rPr>
        <sz val="11"/>
        <color rgb="FF000000"/>
        <rFont val="Calibri"/>
        <family val="2"/>
        <charset val="1"/>
      </rPr>
      <t xml:space="preserve">WW mit Betablockern, Blutzuckersenkender Medikation, Methylxanthin u.a. </t>
    </r>
    <r>
      <rPr>
        <sz val="11"/>
        <color rgb="FF37761D"/>
        <rFont val="Calibri"/>
        <family val="2"/>
        <charset val="1"/>
      </rPr>
      <t xml:space="preserve">Betamimetika können aufgrund der bronchienerweiternden und anabolen Eigenschaften als Dopingmittel missbraucht werden. </t>
    </r>
  </si>
  <si>
    <t>Beta2-Sympathomimetikum.jpg
Beta2-Sympathomimetika_Tabelle.jpg
Asthma_Stufenschema.jpg</t>
  </si>
  <si>
    <t>https://www.pharmawiki.ch/wiki/index.php?wiki=fenoterol
Q9-VL_Bronchopulmonale_Erkrankungen_WS2021-22_Folien.pdf
Mutschler Arzneimittelwirkungen, 11. Auflage, S. 522, Abb. 42.8</t>
  </si>
  <si>
    <t>Salbutamol</t>
  </si>
  <si>
    <t>Asthma COPD Obstruktive Atemwegserkrankungen Beta-2-Adrenozeptor-Agonisten Adrenerges System Q9</t>
  </si>
  <si>
    <t>WM:
Kurz- und raschwirksames inhalatives/orales Beta-2-Sympathomimetikum.
W:
sympathomimetisch, bronchospasmolytisch,  Wirkdauer nach inhalativer Gabe: ca. 4 Stunden</t>
  </si>
  <si>
    <t>Q9-Vorlesungsskript
https://www.pharmawiki.ch/wiki/index.php?wiki=salbutamol</t>
  </si>
  <si>
    <t>Bronchospasmolyse bei Asthma bronchiale und COPD gem. Stufenplan, bei bestehender Obstruktion chron. Bronchitis und Lungenemphysem </t>
  </si>
  <si>
    <t>Tremor, Kopfschmerzen, Tachykardien, Palpitationen (nach mehrwöchiger Gabe Toleranzentwicklung, Tagesgesamtdosis limitieren verringert UAW) </t>
  </si>
  <si>
    <t>Überempfindlichkeit, CAVE bei Herzerkrankungen, Hypertonie, Hyperthyreose, glz. Gabe von Herzglykosiden, schwer einstellbarer DM   </t>
  </si>
  <si>
    <t>Formoterol</t>
  </si>
  <si>
    <t>Asthma COPD Obstruktive Atemwegserkrankungen Beta-2-Adrenozeptor-Agonisten Adrenerges System Q9</t>
  </si>
  <si>
    <t>WM:
Lang wirksames inhalatives Beta-2-Sympathomimetikum, 
W:
Bronchodilatierend, entzündungshemmend,
Wirkdauer nach inhalativer Gabe: ca. 12 Stunden</t>
  </si>
  <si>
    <t>Q9-Vorlesungsskript
https://www.pharmawiki.ch/wiki/index.php?wiki=formoterol</t>
  </si>
  <si>
    <t>Asthma bronchiale und COPD gem. Stufenplan, bei bestehender Obstruktion chron. Bronchitis und Lungenemphysem LABA bei Asthma nur in Kombination mit ICS</t>
  </si>
  <si>
    <t>Ipratropium</t>
  </si>
  <si>
    <t>Asthma COPD Obstruktive Atemwegserkrankungen Muskarinische M3-Acetylcholinrezeptor-Antagonisten Cholinerges System Q9</t>
  </si>
  <si>
    <t xml:space="preserve">Cholinerges System </t>
  </si>
  <si>
    <t xml:space="preserve">Muskarinische M3-Acetylcholinrezeptor-Antagonisten </t>
  </si>
  <si>
    <t>WM:
kurzwirksames Parasympatholytikum 
W:
Parasympatholytisch (anticholinerg), bronchospasmolytisch</t>
  </si>
  <si>
    <t>Q9-Vorlesungsskript
https://www.pharmawiki.ch/wiki/index.php?wiki=Ipratropiumbromid</t>
  </si>
  <si>
    <t>Inhalative Parasympatholytika 1. Wahl bei COPD, eingeschränkte Wirksamkeit bei Asthma bronchiale (meist in Kombination mit Beta-2-Mimetika)</t>
  </si>
  <si>
    <r>
      <rPr>
        <sz val="11"/>
        <color rgb="FF000000"/>
        <rFont val="Calibri"/>
        <family val="2"/>
        <charset val="1"/>
      </rPr>
      <t>anticholinerge Effekte (Ipratropium &gt;Tiotropium), wenig UAW, meist nur Mundtrockenheit, GI-Motilitätsstörungen, Kopfschmerzen, Schwindel, Husten;</t>
    </r>
    <r>
      <rPr>
        <sz val="11"/>
        <color rgb="FF37761D"/>
        <rFont val="Calibri"/>
        <family val="2"/>
        <charset val="1"/>
      </rPr>
      <t xml:space="preserve"> gelegentlich: Akkomodationsstörungen, Tachykardie, Palpitationen, Urtikaria</t>
    </r>
  </si>
  <si>
    <t>Überempfindlichkeit gegenüber Parasympatholytika, CAVE bei Engwinkelglaukom, Prostatahyperplasie </t>
  </si>
  <si>
    <t>Anticholinergika_Tabelle.jpg
Asthma_Stufenschema.jpg</t>
  </si>
  <si>
    <t>Q9-VL_Bronchopulmonale_Erkrankungen_WS2021-22_Folien.pdf
Mutschler Arzneimittelwirkungen, 11. Auflage, S. 522, Abb. 42.8</t>
  </si>
  <si>
    <t xml:space="preserve">Tiotropium </t>
  </si>
  <si>
    <t>WM:
langwirksames Parasympatholytikum 
W:
Parasympatholytisch, bronchienerweiternd</t>
  </si>
  <si>
    <t>Q9-Vorlesungsskript
https://www.pharmawiki.ch/wiki/index.php?wiki=Tiotropiumbromid</t>
  </si>
  <si>
    <t>Parasympatholytika 1. Wahl bei COPD, eingeschränkte Wirksamkeit bei Asthma bronchiale (meist in Kombination mit Beta-2-Mimetika, Tiotropiumbromid auch zur Dauertherapie zugelassen) </t>
  </si>
  <si>
    <t xml:space="preserve">Montelukast </t>
  </si>
  <si>
    <t>Asthma Obstruktive Atemwegserkrankungen Leukotrienrezeptor-Antagonist Eicosanoidsystem Q9</t>
  </si>
  <si>
    <t xml:space="preserve">Eicosanoidsystem </t>
  </si>
  <si>
    <t>Leukotrienrezeptor-Antagonist</t>
  </si>
  <si>
    <r>
      <rPr>
        <sz val="11"/>
        <color rgb="FF000000"/>
        <rFont val="Calibri"/>
        <family val="2"/>
        <charset val="1"/>
      </rPr>
      <t xml:space="preserve">Leukotrienrezeptorantagonist (bronchodilatatorisch, antientzündlich), </t>
    </r>
    <r>
      <rPr>
        <sz val="11"/>
        <color rgb="FF37761D"/>
        <rFont val="Calibri"/>
        <family val="2"/>
        <charset val="1"/>
      </rPr>
      <t>hemmt asthmatische Früh- und Spätreaktion (additiv mit Beta-2-Mimetika und verringert benötigte Dosis an ICS) </t>
    </r>
  </si>
  <si>
    <t>Zusatztherapie bei leichtem bis mittelgradigem persistierendem Asthma, das unter ICS und Beta-2-Mimetika nicht ausreichend kontrolliert ist; als Alternative zu niedrigdosierten ICS bei Kindern/Jugendlichen mit leichtem  persistierendem Asthma, die nicht imstande sind, ICS anzuwenden, Monotherapie nur bis 15 Jahre </t>
  </si>
  <si>
    <t>Bauch- und Kopfschmerzen, Durchfälle bei Kleinkinder </t>
  </si>
  <si>
    <t>orale Gabe als Tabletten, eignet sich bei Problemen mit der Inhalation</t>
  </si>
  <si>
    <t>Asthma_Stufenschema.jpg</t>
  </si>
  <si>
    <t>Mutschler Arzneimittelwirkungen, 11. Auflage, S. 522, Abb. 42.8</t>
  </si>
  <si>
    <t xml:space="preserve">Theophyllin </t>
  </si>
  <si>
    <t>Asthma COPD Obstruktive Atemwegserkrankungen Nicht-selektive Phosphodiesterase-Inhibitoren zyklische Nukleotide Q9</t>
  </si>
  <si>
    <t>zyklische Nukleotide</t>
  </si>
  <si>
    <t xml:space="preserve">Nicht-selektive Phosphodiesterase-Inhibitoren </t>
  </si>
  <si>
    <t>Nicht-selektiver Phosphodiesterasehemmer (→ antiinflammatorisch, bronchodilatativ) und Adenosinrezeptor-Antagonist (→  antiinflammatorisch, Schutz vor Bronchokonstriktion, UAW) </t>
  </si>
  <si>
    <t>COPD in begründeten Ausnahmefällen </t>
  </si>
  <si>
    <t>Sehr häufig: Kopfschmerzen, Erregung, Schlafstörungen, Gliederzittern, HRST, Tachykardie, Palpitationen, GI-Beschwerden (Übelkeit, Erbrechen, Diarrhoe), Elektrolyt-Veränderungen (Hyperglykämie, Hypokaliämie, Hyperurikämie) </t>
  </si>
  <si>
    <r>
      <rPr>
        <sz val="11"/>
        <color rgb="FF000000"/>
        <rFont val="Calibri"/>
        <family val="2"/>
        <charset val="1"/>
      </rPr>
      <t xml:space="preserve">Überempfindlichkeit, frischer Myokardinfarkt, Tachykarde Arrhythmien; </t>
    </r>
    <r>
      <rPr>
        <sz val="11"/>
        <color rgb="FF37761D"/>
        <rFont val="Calibri"/>
        <family val="2"/>
        <charset val="1"/>
      </rPr>
      <t>rel: bestehende Herzerkrankungen (instabile AP, Tachyarrhythmien, Kardiomyopathie), Hypertonie, Hyperthyreose, Epilepsie, GI-Ulcera  </t>
    </r>
  </si>
  <si>
    <r>
      <rPr>
        <sz val="11"/>
        <color rgb="FF000000"/>
        <rFont val="Calibri"/>
        <family val="2"/>
        <charset val="1"/>
      </rPr>
      <t>Sehr geringe therapeutische Breite, therapeutisches Fenster 8-20 µg/ml, toxische Wirkung gehäuft ab 25 µg/ml (Indikation für TDM!) Kinetik verändert durch Alter, Erkrankungen, und multiple WW:</t>
    </r>
    <r>
      <rPr>
        <sz val="11"/>
        <color rgb="FF37761D"/>
        <rFont val="Calibri"/>
        <family val="2"/>
        <charset val="1"/>
      </rPr>
      <t xml:space="preserve"> Theophyllin-Plasmaspiegel steigt z.B. durch orale Kontrazeptiva, verschiedene Antibiotika, Verapamil, Diltiazem, Allopurinol; Halbwertszeit geringer bei Kindern, Rauchern, proteinreicher Kost, CYP-Induktoren (Rifampicin, Barbiturate, Phenytoin...)</t>
    </r>
  </si>
  <si>
    <t>Riociguat</t>
  </si>
  <si>
    <t>NO/cGMP-System Stimulatoren der löslichen Guanylylzyklase (sGC-Stimulatoren) Kardiovaskuläre Erkrankungen NO/cGMP-System</t>
  </si>
  <si>
    <t>Stimulatoren der löslichen Guanylylzyklase (sGC-Stimulatoren)</t>
  </si>
  <si>
    <t>WM: Riociguat ist ein Stimulator der löslichen Guanylatzyklase, eines elementaren Enzyms des kardiopulmonalen Systems, das in der glatten Gefäßmuskulatur nach Stimulation die Umwandlung von GTP in cGMP katalysiert und infolgedessen eine Relaxation induziert.
W: gefäßerweiternd, blutdrucksenkend, antiproliferativ</t>
  </si>
  <si>
    <t>https://www.gelbe-liste.de/wirkstoffe/Riociguat_52312
https://www.pharmawiki.ch/wiki/index.php?wiki=riociguat</t>
  </si>
  <si>
    <t>Chronisch thromboembolische pulmonale Hypertonie (CTEPH), pulmonale arterielle Hypertonie</t>
  </si>
  <si>
    <t>https://www.gelbe-liste.de/wirkstoffe/Riociguat_52312</t>
  </si>
  <si>
    <r>
      <rPr>
        <sz val="11"/>
        <color rgb="FF000000"/>
        <rFont val="Calibri"/>
        <family val="2"/>
        <charset val="1"/>
      </rPr>
      <t xml:space="preserve">Sehr häufig: Kopfschmerzen, Schwindel, Dyspepsie, periphere Ödeme, Übelkeit und Erbrechen, Diarrhoe, Hypotonie; </t>
    </r>
    <r>
      <rPr>
        <sz val="11"/>
        <color rgb="FF37761D"/>
        <rFont val="Calibri"/>
        <family val="2"/>
        <charset val="1"/>
      </rPr>
      <t>häufig: Hämoptoe, Anämie, GI-Beschwerden;  gelegentlich: Lungenblutung</t>
    </r>
  </si>
  <si>
    <t>gleichzeitige Anwendung von PDE-5-Hemmern wie Sildenafil, gleichzeitige Anwendung von Nitraten oder NO-Donatoren einschl. bestimmter Drogen (Poppers), schwere Leberfunktionsstörung (Child-Pugh C), Schwangerschaft, Patienten mit systolischem Blutdruck &lt; 95 mmHg bei Behandlungsbeginn, Patienten mit pulmonaler Hypertonie verbunden mit idiopathischen interstitiellen Pneumonien (PH-IIP)</t>
  </si>
  <si>
    <t xml:space="preserve">Xylometazolin </t>
  </si>
  <si>
    <r>
      <rPr>
        <sz val="11"/>
        <color rgb="FF000000"/>
        <rFont val="Calibri"/>
        <family val="2"/>
        <charset val="1"/>
      </rPr>
      <t>Alphamimetika Adrenerges System ɑ</t>
    </r>
    <r>
      <rPr>
        <vertAlign val="subscript"/>
        <sz val="11"/>
        <color rgb="FF000000"/>
        <rFont val="Calibri"/>
        <family val="2"/>
        <charset val="1"/>
      </rPr>
      <t>1</t>
    </r>
    <r>
      <rPr>
        <sz val="11"/>
        <color rgb="FF000000"/>
        <rFont val="Calibri"/>
        <family val="2"/>
        <charset val="1"/>
      </rPr>
      <t>Adrenozeptor-Agonisten (ɑ</t>
    </r>
    <r>
      <rPr>
        <vertAlign val="subscript"/>
        <sz val="11"/>
        <color rgb="FF000000"/>
        <rFont val="Calibri"/>
        <family val="2"/>
        <charset val="1"/>
      </rPr>
      <t>1</t>
    </r>
    <r>
      <rPr>
        <sz val="11"/>
        <color rgb="FF000000"/>
        <rFont val="Calibri"/>
        <family val="2"/>
        <charset val="1"/>
      </rPr>
      <t>AR-Agonisten) Q9 Atemwegserkrankungen Erkältung</t>
    </r>
  </si>
  <si>
    <r>
      <rPr>
        <sz val="11"/>
        <color rgb="FF000000"/>
        <rFont val="Calibri"/>
        <family val="2"/>
        <charset val="1"/>
      </rPr>
      <t>ɑ</t>
    </r>
    <r>
      <rPr>
        <vertAlign val="subscript"/>
        <sz val="11"/>
        <color rgb="FF000000"/>
        <rFont val="Calibri"/>
        <family val="2"/>
        <charset val="1"/>
      </rPr>
      <t>1</t>
    </r>
    <r>
      <rPr>
        <sz val="11"/>
        <color rgb="FF000000"/>
        <rFont val="Calibri"/>
        <family val="2"/>
        <charset val="1"/>
      </rPr>
      <t>-Adrenozeptor-Agonisten (ɑ</t>
    </r>
    <r>
      <rPr>
        <vertAlign val="subscript"/>
        <sz val="11"/>
        <color rgb="FF000000"/>
        <rFont val="Calibri"/>
        <family val="2"/>
        <charset val="1"/>
      </rPr>
      <t>1</t>
    </r>
    <r>
      <rPr>
        <sz val="11"/>
        <color rgb="FF000000"/>
        <rFont val="Calibri"/>
        <family val="2"/>
        <charset val="1"/>
      </rPr>
      <t>AR-Agonisten)</t>
    </r>
  </si>
  <si>
    <r>
      <rPr>
        <sz val="11"/>
        <color rgb="FF000000"/>
        <rFont val="Calibri"/>
        <family val="2"/>
        <charset val="1"/>
      </rPr>
      <t>ɑ</t>
    </r>
    <r>
      <rPr>
        <vertAlign val="subscript"/>
        <sz val="11"/>
        <color rgb="FF000000"/>
        <rFont val="Calibri"/>
        <family val="2"/>
        <charset val="1"/>
      </rPr>
      <t>1</t>
    </r>
    <r>
      <rPr>
        <sz val="11"/>
        <color rgb="FF000000"/>
        <rFont val="Calibri"/>
        <family val="2"/>
        <charset val="1"/>
      </rPr>
      <t>-Adrenozeptor-Agonisten (ɑ</t>
    </r>
    <r>
      <rPr>
        <vertAlign val="subscript"/>
        <sz val="11"/>
        <color rgb="FF000000"/>
        <rFont val="Calibri"/>
        <family val="2"/>
        <charset val="1"/>
      </rPr>
      <t>1</t>
    </r>
    <r>
      <rPr>
        <sz val="11"/>
        <color rgb="FF000000"/>
        <rFont val="Calibri"/>
        <family val="2"/>
        <charset val="1"/>
      </rPr>
      <t>-AR-Agonisten)</t>
    </r>
  </si>
  <si>
    <r>
      <rPr>
        <sz val="11"/>
        <color rgb="FF000000"/>
        <rFont val="Calibri"/>
        <family val="2"/>
        <charset val="1"/>
      </rPr>
      <t>WM: Xylometazolin ist Imidazolderivat und Agonist an ɑ</t>
    </r>
    <r>
      <rPr>
        <vertAlign val="subscript"/>
        <sz val="11"/>
        <color rgb="FF000000"/>
        <rFont val="Calibri"/>
        <family val="2"/>
        <charset val="1"/>
      </rPr>
      <t>1</t>
    </r>
    <r>
      <rPr>
        <sz val="11"/>
        <color rgb="FF000000"/>
        <rFont val="Calibri"/>
        <family val="2"/>
        <charset val="1"/>
      </rPr>
      <t>- und ɑ</t>
    </r>
    <r>
      <rPr>
        <vertAlign val="subscript"/>
        <sz val="11"/>
        <color rgb="FF000000"/>
        <rFont val="Calibri"/>
        <family val="2"/>
        <charset val="1"/>
      </rPr>
      <t>2</t>
    </r>
    <r>
      <rPr>
        <sz val="11"/>
        <color rgb="FF000000"/>
        <rFont val="Calibri"/>
        <family val="2"/>
        <charset val="1"/>
      </rPr>
      <t>-Rezeptoren (wirkt wie Adrenalin)
W: vasokonstriktorisch, führt zum Abschwellen der Schleimhäute</t>
    </r>
  </si>
  <si>
    <t>https://www.gelbe-liste.de/wirkstoffe/Xylometazolin_69</t>
  </si>
  <si>
    <t>Erkältung, allergische Rhinitis oder Sinusitis</t>
  </si>
  <si>
    <r>
      <rPr>
        <sz val="11"/>
        <color rgb="FF000000"/>
        <rFont val="Calibri"/>
        <family val="2"/>
        <charset val="1"/>
      </rPr>
      <t xml:space="preserve">Häufig kommt es zu Brennen und Trockenheit der Nasenschleimhaut sowie Niesen. </t>
    </r>
    <r>
      <rPr>
        <sz val="11"/>
        <color rgb="FF37761D"/>
        <rFont val="Calibri"/>
        <family val="2"/>
        <charset val="1"/>
      </rPr>
      <t>Insbesondere bei längerer Anwendung und Überdosierung von abschwellenden Rhinologika kann deren Wirkung nachlassen. Als Folge können auftreten: eine reaktive Hyperämie der Nasenschleimhaut (Rhinitis medicamentosa), eine Atrophie der Schleimhaut</t>
    </r>
  </si>
  <si>
    <t>trockene Entzündung der Nasenschleimhaut (Rhinitis sicca), Zustand nach transsphenoidaler Hypophysektomie oder anderen operativen Eingriffen, die die Dura Mater freilegen</t>
  </si>
  <si>
    <t xml:space="preserve">CAVE: bei Säuglingen und Kleinkindern sind Atemdepression und komatöse Zustände möglich                   CAVE: Tendenz zur Daueranwendung/Missbrauch („Privinismus“) →  Mangeldurchblutung der 
Schleimhaut, Austrocknung, Borkenbildung 
Kleinste Packungsgröße verschreiben! 
</t>
  </si>
  <si>
    <t>Q9-Vorlesungsskript Atemwegserkrankungen</t>
  </si>
  <si>
    <t xml:space="preserve">Butylscopolamin </t>
  </si>
  <si>
    <t>Gastrointestinaltrakt</t>
  </si>
  <si>
    <r>
      <rPr>
        <sz val="11"/>
        <color rgb="FF000000"/>
        <rFont val="Calibri"/>
        <family val="2"/>
        <charset val="1"/>
      </rPr>
      <t>Parasympatholytika Bauchschmerzen Muskarinische M</t>
    </r>
    <r>
      <rPr>
        <vertAlign val="subscript"/>
        <sz val="11"/>
        <color rgb="FF000000"/>
        <rFont val="Calibri"/>
        <family val="2"/>
        <charset val="1"/>
      </rPr>
      <t>X</t>
    </r>
    <r>
      <rPr>
        <sz val="11"/>
        <color rgb="FF000000"/>
        <rFont val="Calibri"/>
        <family val="2"/>
        <charset val="1"/>
      </rPr>
      <t>-Acetylcholinrezeptor-Antagonisten (M</t>
    </r>
    <r>
      <rPr>
        <vertAlign val="subscript"/>
        <sz val="11"/>
        <color rgb="FF000000"/>
        <rFont val="Calibri"/>
        <family val="2"/>
        <charset val="1"/>
      </rPr>
      <t>X</t>
    </r>
    <r>
      <rPr>
        <sz val="11"/>
        <color rgb="FF000000"/>
        <rFont val="Calibri"/>
        <family val="2"/>
        <charset val="1"/>
      </rPr>
      <t>R-Antagonisten) Cholinerges System Q9 Magenschmerzen Darmschmerzen Analgetika</t>
    </r>
  </si>
  <si>
    <r>
      <rPr>
        <sz val="11"/>
        <color rgb="FF000000"/>
        <rFont val="Calibri"/>
        <family val="2"/>
        <charset val="1"/>
      </rPr>
      <t>Muskarinische M</t>
    </r>
    <r>
      <rPr>
        <vertAlign val="subscript"/>
        <sz val="11"/>
        <color rgb="FF000000"/>
        <rFont val="Calibri"/>
        <family val="2"/>
        <charset val="1"/>
      </rPr>
      <t>X</t>
    </r>
    <r>
      <rPr>
        <sz val="11"/>
        <color rgb="FF000000"/>
        <rFont val="Calibri"/>
        <family val="2"/>
        <charset val="1"/>
      </rPr>
      <t>-Acetylcholinrezeptor-Antagonisten (M</t>
    </r>
    <r>
      <rPr>
        <vertAlign val="subscript"/>
        <sz val="11"/>
        <color rgb="FF000000"/>
        <rFont val="Calibri"/>
        <family val="2"/>
        <charset val="1"/>
      </rPr>
      <t>X</t>
    </r>
    <r>
      <rPr>
        <sz val="11"/>
        <color rgb="FF000000"/>
        <rFont val="Calibri"/>
        <family val="2"/>
        <charset val="1"/>
      </rPr>
      <t>R-Antagonisten)</t>
    </r>
  </si>
  <si>
    <t xml:space="preserve">WM: hochaffine Bindung an  muskarinische Rezeptoren. Schlechte Absorption aufgrund positiver Ladung und geringe Bioverfügbarkeit. Gelangt nicht ins Hirn, deshalb geringes Risiko für systemische und zentrale Nebenwirkungen. Gilt nur für orale und rektale Verabreichung, nicht für parenterale Verabreichung.
W: anticholinerg, krampflösend
</t>
  </si>
  <si>
    <t>https://www.pharmawiki.ch/wiki/index.php?wiki=Scopolaminbutylbromid</t>
  </si>
  <si>
    <t>Krampfartige Magen- und Darmschmerzen, Krampfartige Schmerzen im Bereich der Gallenwege, der ableitenden Harnwege und der weiblichen Geschlechtsorgane (z. B. Dysmenorrhoe)</t>
  </si>
  <si>
    <t>https://www.gelbe-liste.de/wirkstoffe/Butylscopolaminiumbromid_659</t>
  </si>
  <si>
    <r>
      <rPr>
        <sz val="11"/>
        <color rgb="FF37761D"/>
        <rFont val="Calibri"/>
        <family val="2"/>
        <charset val="1"/>
      </rPr>
      <t xml:space="preserve">Parenterale Applikation:
Überempfindlichkeit (Urtikaria, angioneurotisches Ödem, Dyspnoe), Blutdruckabfall, Schwindel
</t>
    </r>
    <r>
      <rPr>
        <sz val="11"/>
        <color rgb="FF000000"/>
        <rFont val="Calibri"/>
        <family val="2"/>
        <charset val="1"/>
      </rPr>
      <t xml:space="preserve">
Orale Applikation:
Tachykardie, Blutdruckabfall, Schwindel, Mundtrockenheit, Diarrhoe, Übelkeit, Erbrechen, Magenbeschwerden, Trockene Haut, Müdigkeit
Zu den typischen anticholinergen Effekten gehören:
Hemmung der Schweißsekretion, Mundtrockenheit, Miktionsstörungen, Obstipation, Tachykardie</t>
    </r>
  </si>
  <si>
    <t>Überempfindlichkeit, mechanische Stenosen des Magen-Darm-Trakts, paralytischer oder obstruktiver Ileus, Megakolon, Harnverhaltung bei subvesikaler Obstruktion (z. B. Prostataadenom), Engwinkelglaukom, Tachykardie und Tachyarrhythmie</t>
  </si>
  <si>
    <t>Parasympatholytika.jpg</t>
  </si>
  <si>
    <t xml:space="preserve">Scopolamin </t>
  </si>
  <si>
    <r>
      <rPr>
        <sz val="11"/>
        <color rgb="FF000000"/>
        <rFont val="Calibri"/>
        <family val="2"/>
        <charset val="1"/>
      </rPr>
      <t>Parasympatholytika Augenheilkunde Cholinerges System Muskarinische M</t>
    </r>
    <r>
      <rPr>
        <vertAlign val="subscript"/>
        <sz val="11"/>
        <color rgb="FF000000"/>
        <rFont val="Calibri"/>
        <family val="2"/>
        <charset val="1"/>
      </rPr>
      <t>X</t>
    </r>
    <r>
      <rPr>
        <sz val="11"/>
        <color rgb="FF000000"/>
        <rFont val="Calibri"/>
        <family val="2"/>
        <charset val="1"/>
      </rPr>
      <t>-Acetylcholinrezeptor-Antagonisten (M</t>
    </r>
    <r>
      <rPr>
        <vertAlign val="subscript"/>
        <sz val="11"/>
        <color rgb="FF000000"/>
        <rFont val="Calibri"/>
        <family val="2"/>
        <charset val="1"/>
      </rPr>
      <t>X</t>
    </r>
    <r>
      <rPr>
        <sz val="11"/>
        <color rgb="FF000000"/>
        <rFont val="Calibri"/>
        <family val="2"/>
        <charset val="1"/>
      </rPr>
      <t>R-Antagonisten) Reisekrankheit Übelkeit Q9 Analgetika</t>
    </r>
  </si>
  <si>
    <t xml:space="preserve">WM: Antagonismus am muskarinischen Acetylcholin-Rezeptor
W: parasympatholytische (anticholinerge), antiemetische, sedierende, spasmolytische und mydriatische Eigenschaften
</t>
  </si>
  <si>
    <t>https://www.pharmawiki.ch/wiki/index.php?wiki=scopolamin</t>
  </si>
  <si>
    <t>Reisekrankheit, Übelkeit, Krämpfe der glatten Muskulatur im Gastrointestinaltrakt und in den Gallenwegen, Hypersalivation (z.B. in der Palliativmedizin bei Rasselatmung), okuläre Anwendungsgebiete (Augentropfen): zur Weitstellung der Pupille oder Ruhigstellung des Ziliarmuskels</t>
  </si>
  <si>
    <t>Hyperthermie, Sehstörungen, Akkomodationsstörungen, Pupillenerweiterung, Mundtrockenheit, Benommenheit, Schwindel, Sedierung, Schläfrigkeit, zentrale Stimulation, Unruhe, Halluzinationen, Verwirrung, Hautausschläge
Scopolamin kann eine Amnesie verursachen. Zu den Symptomen einer Überdosis gehören ein rascher Herzschlag, Herzrhythmusstörungen, Sehstörungen, Unruhe, Erregung, Photophobie, Harnretention, Halluzinationen, Delirium, Koma und Atemlähmung. Eine Überdosis ist akut lebensbedrohlich.</t>
  </si>
  <si>
    <t>Überempfindlichkeit, Prostatavergrößerung, paralytischer Darmverschluss, Pylorusstenose, Engwinkelglaukom, Myasthenia gravis, Herzrhythmusstörungen</t>
  </si>
  <si>
    <r>
      <rPr>
        <sz val="11"/>
        <color rgb="FF000000"/>
        <rFont val="Calibri"/>
        <family val="2"/>
        <charset val="1"/>
      </rPr>
      <t xml:space="preserve">Anwendung bei (Reise-)Übelkeit als transdermales Pflaster, Arzneimittel-Wechselwirkungen sind unter anderem mit Anticholinergika, MAO-Hemmern, zentral dämpfenden Arzneimitteln, Alkohol, H2-Antihistaminika und Prokinetika möglich; </t>
    </r>
    <r>
      <rPr>
        <sz val="11"/>
        <color rgb="FF37761D"/>
        <rFont val="Calibri"/>
        <family val="2"/>
        <charset val="1"/>
      </rPr>
      <t>Scopolamin kommt in Nachtschattengewächsen wie Stechapfel, Bilsenkraut, Alraune und insbesondere in Engelstrompeten (Brugmansia) vor, kann aber auch künstlich hergestellt werden. Chemisch gesehen ist es ein Ester des Scopins und der Tropasäure und nahe verwandt mit Atropin</t>
    </r>
  </si>
  <si>
    <t xml:space="preserve">Domperidon </t>
  </si>
  <si>
    <r>
      <rPr>
        <sz val="11"/>
        <color rgb="FF000000"/>
        <rFont val="Calibri"/>
        <family val="2"/>
        <charset val="1"/>
      </rPr>
      <t>Antiemetika Prokinetika Dopaminerges System Dopamin-D</t>
    </r>
    <r>
      <rPr>
        <vertAlign val="subscript"/>
        <sz val="11"/>
        <color rgb="FF000000"/>
        <rFont val="Calibri"/>
        <family val="2"/>
        <charset val="1"/>
      </rPr>
      <t>2</t>
    </r>
    <r>
      <rPr>
        <sz val="11"/>
        <color rgb="FF000000"/>
        <rFont val="Calibri"/>
        <family val="2"/>
        <charset val="1"/>
      </rPr>
      <t>-Rezeptor-Antagonisten (D</t>
    </r>
    <r>
      <rPr>
        <vertAlign val="subscript"/>
        <sz val="11"/>
        <color rgb="FF000000"/>
        <rFont val="Calibri"/>
        <family val="2"/>
        <charset val="1"/>
      </rPr>
      <t>2</t>
    </r>
    <r>
      <rPr>
        <sz val="11"/>
        <color rgb="FF000000"/>
        <rFont val="Calibri"/>
        <family val="2"/>
        <charset val="1"/>
      </rPr>
      <t>R-Antagonisten) Übelkeit Erbrechen Q9</t>
    </r>
  </si>
  <si>
    <t>Dopaminerges System</t>
  </si>
  <si>
    <r>
      <rPr>
        <sz val="11"/>
        <color rgb="FF000000"/>
        <rFont val="Calibri"/>
        <family val="2"/>
        <charset val="1"/>
      </rPr>
      <t>Dopamin-D</t>
    </r>
    <r>
      <rPr>
        <vertAlign val="subscript"/>
        <sz val="11"/>
        <color rgb="FF000000"/>
        <rFont val="Calibri"/>
        <family val="2"/>
        <charset val="1"/>
      </rPr>
      <t>2</t>
    </r>
    <r>
      <rPr>
        <sz val="11"/>
        <color rgb="FF000000"/>
        <rFont val="Calibri"/>
        <family val="2"/>
        <charset val="1"/>
      </rPr>
      <t>-Rezeptor-Antagonisten (D</t>
    </r>
    <r>
      <rPr>
        <vertAlign val="subscript"/>
        <sz val="11"/>
        <color rgb="FF000000"/>
        <rFont val="Calibri"/>
        <family val="2"/>
        <charset val="1"/>
      </rPr>
      <t>2</t>
    </r>
    <r>
      <rPr>
        <sz val="11"/>
        <color rgb="FF000000"/>
        <rFont val="Calibri"/>
        <family val="2"/>
        <charset val="1"/>
      </rPr>
      <t>R-Antagonisten)</t>
    </r>
  </si>
  <si>
    <r>
      <rPr>
        <sz val="11"/>
        <color rgb="FF000000"/>
        <rFont val="Calibri"/>
        <family val="2"/>
        <charset val="1"/>
      </rPr>
      <t xml:space="preserve">WM: Domperidon wirkt in der Peripherie als selektiver Dopamin-D2- und D3-Rezeptorantagonist. </t>
    </r>
    <r>
      <rPr>
        <sz val="11"/>
        <color rgb="FF01FD55"/>
        <rFont val="Calibri"/>
        <family val="2"/>
        <charset val="1"/>
      </rPr>
      <t xml:space="preserve">Im Gegensatz zu Metoclopramid scheint es nicht klinisch signifikant an Dopamin-D1-Rezeptoren zu binden.
</t>
    </r>
    <r>
      <rPr>
        <sz val="11"/>
        <color rgb="FF000000"/>
        <rFont val="Calibri"/>
        <family val="2"/>
        <charset val="1"/>
      </rPr>
      <t>W: Der Arzneistoff ist ein sogenanntes Prokinetikum, also ein Wirkstoff, der die gastrointestinale Motilität fördert. Durch diesen Effekt wird die Magenbewegung intensiviert und die Magenentleerung beschleunigt. Eine weitere Wirkung ist die Anregung der Milchproduktion (Laktation) durch Freisetzung von Prolaktin.</t>
    </r>
  </si>
  <si>
    <t>https://www.gelbe-liste.de/wirkstoffe/Domperidon_766</t>
  </si>
  <si>
    <t>Übelkeit, Erbrechen</t>
  </si>
  <si>
    <r>
      <rPr>
        <sz val="11"/>
        <color rgb="FF000000"/>
        <rFont val="Calibri"/>
        <family val="2"/>
        <charset val="1"/>
      </rPr>
      <t xml:space="preserve">häufig: Mundtrockenheit
</t>
    </r>
    <r>
      <rPr>
        <sz val="11"/>
        <color rgb="FF37761D"/>
        <rFont val="Calibri"/>
        <family val="2"/>
        <charset val="1"/>
      </rPr>
      <t xml:space="preserve">Gelegentlich: Libidoverlust, Angstzustände, Somnolenz, Kopfschmerzen, Diarrhoe, Ausschlag, Pruritus, Galaktorrhoe, Brustschmerzen, Brustpannen, Asthenie
</t>
    </r>
    <r>
      <rPr>
        <sz val="11"/>
        <color rgb="FF000000"/>
        <rFont val="Calibri"/>
        <family val="2"/>
        <charset val="1"/>
      </rPr>
      <t xml:space="preserve">
Ohne Angabe: Kammerarrhythmien, QTc-Verlängerung, Torsade de Pointes, plötzlicher Herztod, extrapyramidal-motorische Störungen, Angioödem, Harnretention, Gynäkomastie, Amenorrhoe, abnormale Leberfunktionstests, erhöhtes Blut-prolaktin</t>
    </r>
  </si>
  <si>
    <t>Überempfindlichkeit, Prolaktin-produzierender Hypophysetumor (Prolaktinom), mäßige bis schwere Leberfunktionsstörung, Patienten mit bestehender Verlängerung des kardialen Reizleitungsintervalls, insbesondere der QTc-Zeit und bei Patienten mit signifikanten Elektrolyt-Störungen oder zugrundeliegenden Herzerkrankungen wie kongestiver Herzinsuffizienz, gemeinsame Verabreichung mit QT-verlängernden Arzneimitteln, gemeinsame Verabreichung mit stark wirksamen CYP3A4-Inhibitoren</t>
  </si>
  <si>
    <r>
      <rPr>
        <sz val="11"/>
        <color rgb="FF000000"/>
        <rFont val="Calibri"/>
        <family val="2"/>
        <charset val="1"/>
      </rPr>
      <t xml:space="preserve">Im Unterschied zu Metoclopramid ist Dopamin nicht zentral wirksam → Risiko für extrapyramidal-motorische UAW sehr gering, kann bei Parkinson-Syndrom gegeben werden (MCP kontraindiziert)            </t>
    </r>
    <r>
      <rPr>
        <sz val="11"/>
        <color rgb="FF37761D"/>
        <rFont val="Calibri"/>
        <family val="2"/>
        <charset val="1"/>
      </rPr>
      <t>Rote-Hand-Briefe wegen kardialer Risiken</t>
    </r>
  </si>
  <si>
    <t>Antiemetika.jpg</t>
  </si>
  <si>
    <t>Mutschler Arzneimittelwirkungen, 11. Auflage, S.580, Abb. 52.1</t>
  </si>
  <si>
    <t xml:space="preserve">Metoclopramid </t>
  </si>
  <si>
    <r>
      <rPr>
        <sz val="11"/>
        <color rgb="FF000000"/>
        <rFont val="Calibri"/>
        <family val="2"/>
        <charset val="1"/>
      </rPr>
      <t>Antiemetika Prokinetika Dopaminerges System Dopamin-D</t>
    </r>
    <r>
      <rPr>
        <vertAlign val="subscript"/>
        <sz val="11"/>
        <color rgb="FF000000"/>
        <rFont val="Calibri"/>
        <family val="2"/>
        <charset val="1"/>
      </rPr>
      <t>2</t>
    </r>
    <r>
      <rPr>
        <sz val="11"/>
        <color rgb="FF000000"/>
        <rFont val="Calibri"/>
        <family val="2"/>
        <charset val="1"/>
      </rPr>
      <t>-Rezeptor-Antagonisten (D</t>
    </r>
    <r>
      <rPr>
        <vertAlign val="subscript"/>
        <sz val="11"/>
        <color rgb="FF000000"/>
        <rFont val="Calibri"/>
        <family val="2"/>
        <charset val="1"/>
      </rPr>
      <t>2</t>
    </r>
    <r>
      <rPr>
        <sz val="11"/>
        <color rgb="FF000000"/>
        <rFont val="Calibri"/>
        <family val="2"/>
        <charset val="1"/>
      </rPr>
      <t>R-Antagonisten) Prävention von chemotherapieindizierter Übelkeit und Erbrechen Q9</t>
    </r>
  </si>
  <si>
    <r>
      <rPr>
        <sz val="11"/>
        <color rgb="FF000000"/>
        <rFont val="Calibri"/>
        <family val="2"/>
        <charset val="1"/>
      </rPr>
      <t>WM: Dopamin-D</t>
    </r>
    <r>
      <rPr>
        <vertAlign val="subscript"/>
        <sz val="11"/>
        <color rgb="FF000000"/>
        <rFont val="Calibri"/>
        <family val="2"/>
        <charset val="1"/>
      </rPr>
      <t>2</t>
    </r>
    <r>
      <rPr>
        <sz val="11"/>
        <color rgb="FF000000"/>
        <rFont val="Calibri"/>
        <family val="2"/>
        <charset val="1"/>
      </rPr>
      <t xml:space="preserve">-Antagonist
</t>
    </r>
    <r>
      <rPr>
        <sz val="11"/>
        <color rgb="FF01FD55"/>
        <rFont val="Calibri"/>
        <family val="2"/>
        <charset val="1"/>
      </rPr>
      <t xml:space="preserve">
</t>
    </r>
    <r>
      <rPr>
        <sz val="11"/>
        <color rgb="FF000000"/>
        <rFont val="Calibri"/>
        <family val="2"/>
        <charset val="1"/>
      </rPr>
      <t>W: antiemetisch, antidopaminerg, antiserotonerg</t>
    </r>
  </si>
  <si>
    <t>Q9-VL_Schmerztherapie_WS2021-22_SKRIPT.pdf
https://flexikon.doccheck.com/de/Metoclopramid</t>
  </si>
  <si>
    <t>Prävention von verzögerter chemotherapieinduzierter Übelkeit und Erbrechen (orale und rektale Anwendung), Prävention von strahlentherapieinduzierter Übelkeit und Erbrechen (ausschließlich parenterale Anwendung), akute Migräne (Kombination mit oralen Analgetika → Verbesserung der Resorption von Analgetika (orale Anwendung)), 
Kinder (1-18 Jahre) → nur als Zweitlinienoption: Prävention von verzögerter chemoterapieinduzierter Übelkeit und Erbrechen (parenterale und orale Art der Anwendung), Behandlung von gesicherter Übelkeit und gesichertem Erbrechen nach Operationen (ausschließlich parenterale Art der Anwendung)</t>
  </si>
  <si>
    <t>Q9-VL_Schmerztherapie_WS2021-22_SKRIPT.pdf</t>
  </si>
  <si>
    <t>Häufig kommt es zu Schwindel und Müdigkeit. Über die gehemmte Dopaminaktivität erfolgt eine Enthemmung der cholinergen Effekte, was zu extrapyramidalen Störungen (Dyskinesien) führen kann, die jedoch in normaler Dosierung selten sind. Ebenfalls durch die Wirkung an Dopamin-Rezeptoren kommt es zu einer erhöhten Prolaktinsekretion (besonders nach längerer Einnahme) mit den daraus resultierenden Nebenwirkungen Galaktorrhoe und Gynäkomastie. Bei Auftreten von Dyskinesien, kann man zu deren Unterdrückung ein Anticholinergikum (z. B. Biperiden) geben</t>
  </si>
  <si>
    <t>https://flexikon.doccheck.com/de/Metoclopramid</t>
  </si>
  <si>
    <t>Kinder &lt; 1 Jahr, Phäochromozytom, Epilepsie Prolaktin-abhängige Tumore, Blutungen/Perforationen des Magendarmtrakts, Morbus Parkinson</t>
  </si>
  <si>
    <r>
      <rPr>
        <sz val="11"/>
        <color rgb="FF000000"/>
        <rFont val="Calibri"/>
        <family val="2"/>
        <charset val="1"/>
      </rPr>
      <t xml:space="preserve">Rote Hand Brief 2014: wegen extrapyramidaler UAW → Verordnungseinschränkungen; nur noch niedrige Dosierungen (Tropfen </t>
    </r>
    <r>
      <rPr>
        <sz val="10"/>
        <color rgb="FF000000"/>
        <rFont val="CIDFont+F4"/>
        <charset val="136"/>
      </rPr>
      <t xml:space="preserve">≤ 1mg/ml, Injektionslösungen </t>
    </r>
    <r>
      <rPr>
        <sz val="10"/>
        <color rgb="FF000000"/>
        <rFont val="CIDFont+F4"/>
        <charset val="1"/>
      </rPr>
      <t>≤ 5 mg/ml, rektale Formulierungen ≤ 20 mg; Maximaldosis/Tag ≤ 30 mg)</t>
    </r>
  </si>
  <si>
    <t xml:space="preserve">Aktivkohle </t>
  </si>
  <si>
    <t>Antidot Physikalische Wirkprinzipien Adsorbenzien Vergiftung Q9 Antidiarrhoika</t>
  </si>
  <si>
    <t>Physikalische Wirkprinzipien</t>
  </si>
  <si>
    <t>Adsorbenzien</t>
  </si>
  <si>
    <t>WM: Bindung an verschiedenste organische und anorganische Stoffe, Bakterien, Bakterientoxine und Giftstoffe, Zufuhr zur Ausscheidung über den Stuhl
W: adsorbierend</t>
  </si>
  <si>
    <t>https://www.pharmawiki.ch/wiki/index.php?wiki=aktivkohle</t>
  </si>
  <si>
    <t>Vergiftung (z. B. Carbamazepin, Phenobarbital, Digoxin, Digitoxin, Phenytoin, Sotalol), Diarrhoe, Wundauflage (z. B. bei Ulcus cruris)</t>
  </si>
  <si>
    <t>https://flexikon.doccheck.com/de/Carbo_medicinalis?utm_source=www.doccheck.flexikon&amp;utm_medium=web&amp;utm_campaign=DC%2BSearch</t>
  </si>
  <si>
    <t>Aktivkohle kann zu einer ungefährlichen Schwarzverfärbung des Stuhls führen und in hohen Dosen Erbrechen, eine Verstopfung und einen Darmverschluss auslösen</t>
  </si>
  <si>
    <t xml:space="preserve">Überempfindlichkeit, Durchfall mit Fieber, Darmverschluss, akute Bauchschmerzen, ulzerative Kolitis, Vergiftung mit reizenden Stoffen (Säuren, Basen), eingeschränktes Bewusstsein wegen der Gefahr einer Aspiration </t>
  </si>
  <si>
    <t xml:space="preserve">Kohle ist nicht gegen alle Gifte wirksam, z. B. nicht gegen Kaliumcyanid und andere Cyanide, Eisen, Lithium, Elektrolyte, Lösungsmittel und verschiedene Akohole wie Methanol und Ethanol. </t>
  </si>
  <si>
    <t>Racecadotril</t>
  </si>
  <si>
    <t>Antidiarrhoika Peptiderge Systeme Enkephalinase-Inhibitoren Diarrhö Q9</t>
  </si>
  <si>
    <t>Enkephalinase-Inhibitoren</t>
  </si>
  <si>
    <t xml:space="preserve">WM: Hemmung der Peptidase Enkephalinase im Dünndarmepithel. Racecadotril schützt die Enkephaline – endogene Opioide – vor dem enzymatischen Abbau. Enkephaline hemmen über Opiatrezeptoren die Sekretion von Wasser und Elektrolyten in den Darm. Racecadotril ist ein Prodrug, das im Organismus zum aktiven Metaboliten Thiorphan hydrolysiert wird.
W: antidiarrhoisch, antisekretorisch
</t>
  </si>
  <si>
    <t>https://www.pharmawiki.ch/wiki/index.php?wiki=racecadotril</t>
  </si>
  <si>
    <t>Diarrhö</t>
  </si>
  <si>
    <r>
      <rPr>
        <sz val="11"/>
        <color rgb="FF000000"/>
        <rFont val="Calibri"/>
        <family val="2"/>
        <charset val="1"/>
      </rPr>
      <t xml:space="preserve">Häufig: Kopfschmerzen
</t>
    </r>
    <r>
      <rPr>
        <sz val="11"/>
        <color rgb="FF37761D"/>
        <rFont val="Calibri"/>
        <family val="2"/>
        <charset val="1"/>
      </rPr>
      <t>Gelegentlich: Erythem
Seltener auftretende Nebenwirkungen, die jedoch auch Symptome der Grunderkrankung sein können, sind: Nausea, Bauchschmerzen, Erbrechen, Fieber, Hypokaliämie, Obstipation, Meteorismus</t>
    </r>
  </si>
  <si>
    <t>https://flexikon.doccheck.com/de/Racecadotril?utm_source=www.doccheck.flexikon&amp;utm_medium=web&amp;utm_campaign=DC%2BSearch</t>
  </si>
  <si>
    <t>Überempfindlichkeit, Durchfall mit Fieber und/oder blutigem oder schleimigem Stuhl (invasive Bakterien), Pseudomembranöse Colitis im Zusammenhang mit Antibiotika</t>
  </si>
  <si>
    <t xml:space="preserve">Pantoprazol </t>
  </si>
  <si>
    <t>Wasser- und Elektrolythaushalt Protonenpumpenhemmer-Inhibitoren (PPIs) Ulcus duodeni Q9</t>
  </si>
  <si>
    <t>Protonenpumpenhemmer-Inhibitoren (PPIs)</t>
  </si>
  <si>
    <t>WM: Pantoprazol wird im sauren Kompartiment der Parietalzelle in die aktive Form umgewandelt und hemmt dann die H+/K+-ATPase, die für die Säureproduktion im Magen verantwortlich ist.
W:
Verringert die Magensäuresekretion</t>
  </si>
  <si>
    <t>https://www.pharmawiki.ch/wiki/index.php?wiki=pantoprazol</t>
  </si>
  <si>
    <t>Therapie des Ulcus duodeni, Ulcus ventriculi, der Refluxösophagitis und des Zollinger-Ellison-Syndroms, Rezidivprophylaxe bei Ulzera duodeni und ventriculi, Behandlung und Prophylaxe von NSAID-bedingten gastroduodenalen Ulcera, Eradikation von Helicobacter pylori in Kombination mit geeigneten Antibiotika</t>
  </si>
  <si>
    <t>Mutschler Arzneimittelwirkungen, 11. Auflage, S. 554</t>
  </si>
  <si>
    <t>gastrointestinale Störungen (Diarrhö, Übelkeit, Völlegefühl), Schwindel, Müdigkeit, Kopfschmerzen, Erhöhung der Leberenzyme, Hautveränderungen, schwere Seh- und Hörstörungen (insbesondere nach zu schneller parenteraler Gabe), erhöhtes Risiko für Knochenbrüche bei hoher Dosierung über längere Zeit (über ein Jahr), schwere Hypomagnesiämien (mit Erschöpfungszuständen, Tetanie, Delir, etc.)</t>
  </si>
  <si>
    <t>Mutschler Arzneimittelwirkungen, 11. Auflage, S. 555</t>
  </si>
  <si>
    <t>Überempfindlichkeit, substitutierte Benzimidazole</t>
  </si>
  <si>
    <t>https://www.gelbe-liste.de/wirkstoffe/Pantoprazol_22015</t>
  </si>
  <si>
    <t>Omeprazol.jpg</t>
  </si>
  <si>
    <t>Mutschler Arzneimittelwirkungen, 11. Auflage, S. 554, Abb. 49.1</t>
  </si>
  <si>
    <t xml:space="preserve">Bisacodyl </t>
  </si>
  <si>
    <t>Wasser- und Elektrolythaushalt Sekretogogisch/antiresorptive Laxanzien Obstipation Q9 Laxantien</t>
  </si>
  <si>
    <t>Sekretogogisch/antiresorptive Laxanzien</t>
  </si>
  <si>
    <t>WM: Bisacodyl ist ein Prodrug, das nach oraler Einnahme aufgrund der Galenik überwiegend im Dickdarm zu seinem aktiven Metaboliten hydrolisiert wird. Der antiresorptive Effekt basiert auf Hemmung der Natriumionen- und Wasserresorption durch Blockade der Na+/K+-abhängigen ATPase.
W: hydragog, antiresorptiv</t>
  </si>
  <si>
    <t>Mutschler Arzneimittelwirkungen, 11. Auflage, S. 568-569</t>
  </si>
  <si>
    <t>Obstipation, Erkrankungen, die eine erleichterte Defäkation erfordern, Eingriffe am Darm (diagnostisch oder therapeutisch)</t>
  </si>
  <si>
    <t>https://www.gelbe-liste.de/wirkstoffe/Bisacodyl_263</t>
  </si>
  <si>
    <t>Die häufigsten UAW sind Bauchschmerzen, Diarrhö, Übelkeit</t>
  </si>
  <si>
    <t>Überempfindlichkeit, Darmobstruktion, Ileus oder akute Erkrankungen des Magen-Darm-Traktes (z. B. entzündliche Erkrankungen, akute Appendizitis), starke Bauchschmerzen im Zusammenhang mit Übelkeit oder Erbrechen, die Zeichen einer schweren Erkrankung sein können, Kinder unter 2 Jahre (Dragées), Kinder unter 10 Jahre als Zäpfchen (10 mg)</t>
  </si>
  <si>
    <t xml:space="preserve">Macrogol </t>
  </si>
  <si>
    <t>Wasserbindende Arzneistoffe Wasserbindende Arzneistoffe chronische Obstipation Q9 Laxantien</t>
  </si>
  <si>
    <t>Wasserbindende Arzneistoffe</t>
  </si>
  <si>
    <t>WM: Bindung von Wasser über Wasserstoffbrückenbindungen in Form von Hydrathüllen. 
W:  Abführend, wasserbindend
Sammlung von Wasser im Darmlumen und Erhöhung des Stuhlvolumens. Dies wiederum löst über neuromuskuläre Reize eine gesteigerte Motilität des Kolons aus und führt folglich zu einem verbesserten propulsiven Transport des aufgeweichten Stuhls</t>
  </si>
  <si>
    <t>https://www.pharmawiki.ch/wiki/index.php?wiki=Macrogole
https://flexikon.doccheck.com/de/Polyethylenglykol?utm_source=www.doccheck.flexikon&amp;utm_medium=web&amp;utm_campaign=DC%2BSearch</t>
  </si>
  <si>
    <t>chronische Obstipation, Darmreinigung (Vorbereitung Koloskopie), Erweichung Stuhlgang (z. B. bei Hämorrhoiden oder Analfissur), Behebung einer Koprostase, definiert als refraktäre Obstipation, bei der Rektum und/oder Kolon mit Kot angefüllt sind</t>
  </si>
  <si>
    <t>https://www.gelbe-liste.de/wirkstoffe/Macrogol_10190</t>
  </si>
  <si>
    <t>Häufig: Pruritus, Kopfschmerzen, Abdominalschmerzen, Diarrhoe, Erbrechen, Übelkeit, Flatulenz, periphere Ödeme</t>
  </si>
  <si>
    <t>Überempfindlichkeit, intestinale Obstruktion oder Perforation aufgrund von funktionellen oder strukturellen Störungen der Darmwand, Darmverschluss (Ileus), schwere entzündliche Darmerkrankungen (z. B. Colitis ulcerosa, Morbus Crohn und toxisches Megakolon)</t>
  </si>
  <si>
    <t xml:space="preserve">Aprepitant </t>
  </si>
  <si>
    <t>Adjuvantien, Antiemetikum Gastrointestinaltrakt Peptiderge Systeme Neurokinin-Antagonist Prävention Übelkeit und Erbrechen emetogene Chemotherapie Q9</t>
  </si>
  <si>
    <t>Neurokinin-Antagonist</t>
  </si>
  <si>
    <r>
      <rPr>
        <sz val="11"/>
        <color rgb="FF000000"/>
        <rFont val="Calibri"/>
        <family val="2"/>
        <charset val="1"/>
      </rPr>
      <t xml:space="preserve">Humaner, hochaffiner, selektiver Neurokinin-Antagonist; </t>
    </r>
    <r>
      <rPr>
        <sz val="11"/>
        <color rgb="FF37761D"/>
        <rFont val="Calibri"/>
        <family val="2"/>
        <charset val="1"/>
      </rPr>
      <t xml:space="preserve">Aprepitant wirkt als Antagonist des Neurokinin-Rezeptors NK1, indem es die Bindung des natürlichen Liganden für NK1, Substanz P, verhindert. Die Bindung von Substanz P an den NK1-Rezeptor, der auf Zellen im Brechzentrum im Hirnstamm lokalisiert ist, löst den Brechreiz aus; dies wird durch Aprepitant reduziert
</t>
    </r>
    <r>
      <rPr>
        <sz val="11"/>
        <color rgb="FF000000"/>
        <rFont val="Calibri"/>
        <family val="2"/>
        <charset val="1"/>
      </rPr>
      <t xml:space="preserve">
W:
Antiemetisch</t>
    </r>
  </si>
  <si>
    <t>Fachinfo
https://www.pharmawiki.ch/wiki/index.php?wiki=aprepitant</t>
  </si>
  <si>
    <t>Prävention von Übelkeit und Erbrechen bei emetogener Chemotherapie ab 12J.</t>
  </si>
  <si>
    <t xml:space="preserve">Häufig: verminderter Appetit, Kopfschmerzen, Schluckauf, Obstipation, Abgeschlagenheit, erhöhte ALT-Werte </t>
  </si>
  <si>
    <t>Glz. Anwendung von Pimozid, Terfenadin, Astemizol oder Cisaprid (Aprepitant wird über CYP3A4 metabolisiert)</t>
  </si>
  <si>
    <r>
      <rPr>
        <sz val="10"/>
        <rFont val="Arial"/>
        <charset val="1"/>
      </rPr>
      <t xml:space="preserve">Neben Aprepitant existiert mit dem Arzneistoff </t>
    </r>
    <r>
      <rPr>
        <sz val="10"/>
        <color rgb="FF0000FF"/>
        <rFont val="Arial"/>
        <charset val="1"/>
      </rPr>
      <t>Fosaprepitant</t>
    </r>
    <r>
      <rPr>
        <sz val="10"/>
        <rFont val="Arial"/>
        <charset val="1"/>
      </rPr>
      <t xml:space="preserve">, einer </t>
    </r>
    <r>
      <rPr>
        <sz val="10"/>
        <color rgb="FF0000FF"/>
        <rFont val="Arial"/>
        <charset val="1"/>
      </rPr>
      <t>Prodrug</t>
    </r>
    <r>
      <rPr>
        <sz val="10"/>
        <rFont val="Arial"/>
        <charset val="1"/>
      </rPr>
      <t xml:space="preserve"> von Aprepitant, eine weitere Substanz mit diesem Wirkungsmechanismus </t>
    </r>
  </si>
  <si>
    <t xml:space="preserve">Ondansetron </t>
  </si>
  <si>
    <t>Adjuvantien, Antiemetikum Gastrointestinaltrakt Serotonerges System 5-Hydroxytryptamin-3-Rezeptoragonisten Übelkeit Erbrechen zytotoxische Chemotherapie Q9</t>
  </si>
  <si>
    <t xml:space="preserve">Serotonerges System </t>
  </si>
  <si>
    <t xml:space="preserve">5-Hydroxytryptamin-3-Rezeptoragonisten </t>
  </si>
  <si>
    <r>
      <rPr>
        <sz val="11"/>
        <color rgb="FF000000"/>
        <rFont val="Calibri"/>
        <family val="2"/>
        <charset val="1"/>
      </rPr>
      <t xml:space="preserve">Wirkt hochselektiv als 5-HT3-Rezeptorantagonist; </t>
    </r>
    <r>
      <rPr>
        <sz val="11"/>
        <color rgb="FF37761D"/>
        <rFont val="Calibri"/>
        <family val="2"/>
        <charset val="1"/>
      </rPr>
      <t xml:space="preserve">Ondansetron vermittelt seine Erbrechen hemmenden Effekte über eine Hemmung der Serotonin-Wirkung an 5-HT3-Rezeptoren. Serotonin wird in großer Menge aus enterochromaffinen Zellen, insbesondere als Folge einer Zytostatika- oder Strahlentherapie, freigesetzt. Das ausgeschüttete Serotonin führt über eine Aktivierung von 5-HT3-Rezeptoren des viszeralen afferenten Vagus und ferner auch im Brechzentrum des Zentralnervensystems zu einer Aktivierung des Brechreflexes. Daher zeigt Ondansetron eine gute antiemetische Wirksamkeit in der Chemo- oder Strahlentherapie von Tumorerkrankungen, jedoch nur wenig Wirkung bei der Behandlung der Reisekrankheit. 
</t>
    </r>
    <r>
      <rPr>
        <sz val="11"/>
        <color rgb="FF000000"/>
        <rFont val="Calibri"/>
        <family val="2"/>
        <charset val="1"/>
      </rPr>
      <t xml:space="preserve">
W:
antiemetisch</t>
    </r>
  </si>
  <si>
    <t>Fachinfo, Wikipedia</t>
  </si>
  <si>
    <t>Behandlung von Übelkeit und Erbrechen nach zytotoxischer Chemotherapie, Radiotherapie oder postoperativer Übelkeit</t>
  </si>
  <si>
    <t xml:space="preserve">Sehr häufig: Kopfschmerzen, häufig: Wärmegefühl, lokale Reaktion, Obstipation; gelegentlich: QT-Zeit-Verlängerung, Herzrhythmusstörungen (daher Einschränkung der Zulassung) </t>
  </si>
  <si>
    <t>Glz. Anwendung mit Apomorphin (Berichte über starken Blutdruckabfall/Bewusstseinsverlust bei gleichzeitiger Gabe)</t>
  </si>
  <si>
    <t>2019 Rote-Hand-Brief wegen möglicher Fehlbildungen des Mund-/Gesichtsbereichs bei Anwendung im ersten Drittel der Schwangerschaft</t>
  </si>
  <si>
    <t xml:space="preserve">Loperamid </t>
  </si>
  <si>
    <t>µ-Opioidrezeptor-Agonisten MOR-Agonisten Opioide Gastrointestinaltrakt Diarrhoe Peptiderge Systeme µ-Opioidrezeptor-Agonisten (MOR-Agonisten) Durchfallerkrankungen</t>
  </si>
  <si>
    <t>µ-Opioidrezeptor-Agonisten (MOR-Agonisten)</t>
  </si>
  <si>
    <t>WM: hochaffine Bindung an µ-Opioidrezeptoren in der Darmwand 
W: antidiarrhoisch → hemmt propulsive Peristaltik und verlängert Verweildauer des Stuhls im Darm. Fast keine zentralen Effekte</t>
  </si>
  <si>
    <t>https://www.pharmawiki.ch/wiki/index.php?wiki=loperamid</t>
  </si>
  <si>
    <t>Zur symptomatischen Behandlung akuter und chronischer Durchfallerkrankungen verschiedener Ursache</t>
  </si>
  <si>
    <t>Zu den häufigsten möglichen UAW gehören Verstopfung, Blähungen, Kopfschmerzen, Übelkeit und Schwindel</t>
  </si>
  <si>
    <t>Überempfindlichkeit, Kinder unter 2 Jahren, schwere Leberfunktionsstörungen</t>
  </si>
  <si>
    <t xml:space="preserve">synthetisches Opioid, das die Blut-Hirn-Schranke kaum passiert, weshalb keine zentralen Effekte auftreten. </t>
  </si>
  <si>
    <t>https://flexikon.doccheck.com/de/Loperamid?utm_source=www.doccheck.flexikon&amp;utm_medium=web&amp;utm_campaign=DC%2BSearch</t>
  </si>
  <si>
    <t xml:space="preserve">Etoricoxib </t>
  </si>
  <si>
    <t>Schmerztherapie</t>
  </si>
  <si>
    <t>Coxibe
Nichtopioid-Analgetika
NSAID Eicosanoidsystem Cyclooxygenase-2-Inhibitoren (COX-2-Inhibitoren) Gelenkserkrankungen Q9 Schmerz</t>
  </si>
  <si>
    <t>Eicosanoidsystem</t>
  </si>
  <si>
    <t>Cyclooxygenase-2-Inhibitoren (COX-2-Inhibitoren)</t>
  </si>
  <si>
    <t>Cyclooxygenase-2-Inhibitoren (COX-2-Inhibitoren)
Nichtopioid-Analgetika
NSAID
NSAR</t>
  </si>
  <si>
    <r>
      <rPr>
        <sz val="11"/>
        <color rgb="FF000000"/>
        <rFont val="Calibri"/>
        <family val="2"/>
        <charset val="1"/>
      </rPr>
      <t xml:space="preserve">WM: Selektive COX-2-Inhibition
W: analgetisch, antiphlogistisch                                                                                                                 </t>
    </r>
    <r>
      <rPr>
        <sz val="11"/>
        <color rgb="FF37761D"/>
        <rFont val="Calibri"/>
        <family val="2"/>
        <charset val="1"/>
      </rPr>
      <t xml:space="preserve">Selektive COX-2-Hemmer wurden entwickelt, um gezielt Entzündungen zu behandeln, während die für einige wichtige Organfunktionen wie die Nierendurchblutung und den Schutz der Magenschleimhaut vor der Magensäure zuständige COX-1 wirksam bleibt. Dies gelang jedoch nur teilweise, da selektive COX-2-Hemmer ihre Wirkung zwar überwiegend an der COX-2, aber in geringem Maße auch an der COX-1 entfalten.
Bei Einnahme selektiver COX-2-Hemmer wird die COX-1 nur wenig beeinflusst, was aber nicht zum Ausbleiben der Nebenwirkungen führt. In Zulassungs- und Marketingstudien wurde vor allem eine im Vergleich zu älteren NSAR geringere Rate gastroskopisch auffindbarer Magenschleimhautschäden gezeigt. Der Grund hierfür ist, dass die durch COX-1 betriebene Synthese magenschützender Prostaglandine kaum verringert wird. Die klinische Bedeutung dieser Befunde ist aber nach wie vor unklar.
</t>
    </r>
  </si>
  <si>
    <t>Q9-VL_Schmerztherapie_WS2021-22
https://www.pharmawiki.ch/wiki/index.php?wiki=etoricoxib</t>
  </si>
  <si>
    <t>rheumatische und degenerative Gelenkserkrankungen (Arthrose und rheumatoide Arthritis), akute Gichtarthritis, Zahnbeschwerden</t>
  </si>
  <si>
    <t>Q9-VL_Schmerztherapie_WS2021-22
Fachinformation Arcoxia (MSD)</t>
  </si>
  <si>
    <t>Häufig:
Ödeme/Flüssigkeitsretention, Erhöhung der Transaminasen; GI-Nebenwirkungen unter COX-2-Hemmern &gt; 50% geringer als unter traditionellen NSAIDs; kardiovaskuläre Risiko-Erhöhung (vergleichbar mit traditionellen NSAIDs)</t>
  </si>
  <si>
    <t>Fachinformation Arcoxia (MSD)</t>
  </si>
  <si>
    <t>aktives peptisches Ulkus oder aktive gastrointestinale Blutung
Patienten, bei denen nach der Anwendung von ASS oder NSAR inkl. COX-2-Hemmern Bronchospasmus, akute Rhinitis, Nasenschleimhautschwellungen, angioneurotisches Ödem, Urtikaria oder allergieartige Reaktionen auftraten
Schwangerschaft und Stillzeit (begrenzte Erfahrung)
Schwere Leberfunktionsstörungen (Serum-Albumin &lt; 25 g/l oder Child-Pugh-Score ≥ 10)
Geschätzte Kreatinin-Clearance &lt; 30 ml/min
Kinder und Jugendliche unter 16 Jahren
Entzündliche Darmerkrankungen
Herzinsuffizienz (NYHA II-IV)
Patienten mit Hypertonie, deren Blutdruck nicht ausreichend kontrolliert ist
Klinisch gesicherte koronare Herzkrankheit und/oder zerebrovaskuläre Erkrankungen</t>
  </si>
  <si>
    <t>Geringere  Magenschleimhautschädigung im Vergleich zu traditionellen NSAIDs</t>
  </si>
  <si>
    <t>Q9-VL_Schmerztherapie_WS2021-22</t>
  </si>
  <si>
    <t>NSAID_Mutschler.jpg
NSAID_Mutschler_Tabelle.jpg
COX-1_vs_COX-2.jpg</t>
  </si>
  <si>
    <t>Mutschler Arzneimittelwirkungen, 11. Auflage, S.262-263, Abb. 15.8 &amp; 15.9 + Tab. 15.1</t>
  </si>
  <si>
    <t>Diclofenac</t>
  </si>
  <si>
    <t>Nichtopioid-Analgetika
NSAID NSAR Schmerz Eicosanoidsystem Nicht-selektive Cyclooxygenase-Inhibitoren (COX-Inhibitoren) Gelenkrserkrankungen Q9</t>
  </si>
  <si>
    <t>Nicht-selektive Cyclooxygenase-Inhibitoren (COX-Inhibitoren)</t>
  </si>
  <si>
    <t>Cyclooxygenase-Inhibitoren (COX-Inhibitoren)
Nichtopioid-Analgetika
NSAID
NSAR</t>
  </si>
  <si>
    <t>WM: Nicht-selektive COX-Inhibition (COX-1 und COX 2) → verminderte Prostaglandinsynthese                                                                                                                                         W: analgetisch, antiphlogistisch, antipyretisch</t>
  </si>
  <si>
    <t>Q9-VL_Rheumatische Erkrankungen WS2122</t>
  </si>
  <si>
    <t>rheumatische und degenerative Gelenkerkrankungen (Arthrose und rheumatoide Arthritis), akute Gichtarthritis
Schmerzhafte Schwellungen oder Entzündungen nach Verletzungen, Tumorschmerz: gut wirksam bei Knochenmetastasen</t>
  </si>
  <si>
    <t>Q9-VL_Rheumatische Erkrankungen WS2122
Fachinformation Diclofenac-Ratiopharm</t>
  </si>
  <si>
    <t xml:space="preserve">GI-Nebenwirkungen, u.a. Ulcera, Blutungen; Nierenfunktionsstörungen, Flüssigkeitsretention, kardiovaskuläre Risikoerhöhung, Blutdruckanstieg, Verschlechterung einer bestehenden Herzinsuffizienz, hepatische UAW (Transaminasenerhöhungen &amp; leberbezogene Therapieabbrüche unter Diclofenac häufiger als unter Ibuprofen, Naproxen, Celecoxib), Erythem, Urticaria, schwere Hautreaktion
</t>
  </si>
  <si>
    <t>Herzinsuffizienz (NYHA II-IV), KHK, pAVK, zerebrovaskuläre Erkrankungen,
Leber- oder Nierenfunktionsstörungen,
Schwangerschaft (im letzten Trimenon)</t>
  </si>
  <si>
    <t>Misoprostol zum Magenschutz → Nur in Kombination mit Diclofenac in Arthotec 
Cave: Nicht bei Schwangeren</t>
  </si>
  <si>
    <t>Q9-VL_Schmerztherapie_WS2021-22
Arthotec forte (Pfizer) Fachinformation</t>
  </si>
  <si>
    <t xml:space="preserve">Ibuprofen </t>
  </si>
  <si>
    <t>Nicht-steroidale Antirheumatika
Nichtopioid-Analgetika
NSAID Eicosanoidsystem Nicht-selektive Cyclooxygenase-Inhibitoren (COX-Inhibitoren) Tumorschmerztherapie Q9 Schmerz</t>
  </si>
  <si>
    <t>WM: Nicht-selektive reversible COX-Inhibition (COX-1 und COX 2) → verminderte Prostaglandinsynthese                                                                                                                                         W: analgetisch, antiphlogistisch, antipyretisch</t>
  </si>
  <si>
    <t>Tumorschmerztherapie;
Akute Arthritiden (einschließlich Gichtanfall);
Chronische Arthritiden, insbesondere rheumatoide Arthritis; Spondylitis ankylosans (Morbus Bechterew); Arthrosen und Spondylarthrosen; entzündliche weichteilrheumatische Erkrankungen; schmerzhafte Schwellungen und Entzündungen nach Verletzungen</t>
  </si>
  <si>
    <t>Q9-VL_Schmerztherapie_WS2021-22
Fachinformation Ibuflam 800 mg Retardtabletten (Aenova IP)</t>
  </si>
  <si>
    <t>Zu den häufigsten möglichen UAW gehören:
Gastrointestinale Störungen: Verdauungsbeschwerden, Durchfall, Übelkeit, Erbrechen, Verstopfung, Bauchschmerzen, Blähungen, Teerstuhl, Bluterbrechen und Blutungen im Verdauungstrakt
Zentralnervöse Nebenwirkungen: Einschränkung des Reaktionsvermögens, Kopfschmerzen, Schwindel, Müdigkeit
Hautausschläge
Wie andere NSAID kann Ibuprofen selten schwere UAW verursachen. Dazu gehören Magen- und Darmgeschwüre, Perforationen, Blutungen, Herz-Kreislauf-Erkrankungen, Bluthochdruck, Hepatitis, lebensgefährliche Hautreaktionen und Nierenfunktionsstörungen bis hin zum Nierenversagen</t>
  </si>
  <si>
    <t>https://www.pharmawiki.ch/wiki/index.php?wiki=ibuprofen</t>
  </si>
  <si>
    <t>Überempfindlichkeit, bekannte Reaktionen von Bronchospasmus, Asthma, Rhinitis oder Urtikaria nach Einahme von ASS oder anderen NSAIDs, ungeklärte Blutbildungsstörungen, peptische Ulzera oder Hämorraghien, gastrointestinale Blutungen oder Perforation in Zusammenhang mit NSAR, zerebrovaskuläre oder andere aktive Blutungen, schwere Leber- und Nierenfunktionsstörungen, schwere Herzinsuffizienz, letztes Trimenon der Schwangerschaft</t>
  </si>
  <si>
    <t>https://www.gelbe-liste.de/wirkstoffe/Ibuprofen_289#Kontraindikationen</t>
  </si>
  <si>
    <t>Acetylsalicylsäure</t>
  </si>
  <si>
    <t xml:space="preserve">Irreversible Cyclooxygenase-Inhibitoren (Irreversible COX-Inhibitoren), NSAR, Aspirin Eicosanoidsystem Irreversible Cyclooxygenase-Inhibitoren (Irreversible COX-Inhibitoren) Q9 Schmerz </t>
  </si>
  <si>
    <t>Irreversible Cyclooxygenase-Inhibitoren (Irreversible COX-Inhibitoren)</t>
  </si>
  <si>
    <t>WM: Irreversible Hemmung der Cyclooxygenasen und damit der Lipidmediatorsynthese (Prostaglandine)
W: analgetisch, antipyretisch, antiphlogistisch (erst ab ca. 3-5 g/d)</t>
  </si>
  <si>
    <r>
      <rPr>
        <sz val="10"/>
        <color rgb="FF000000"/>
        <rFont val="CIDFont+F1"/>
        <charset val="128"/>
      </rPr>
      <t>Leichte bis mittelschwere Schmerzen, wie Kopfschmerzen,</t>
    </r>
    <r>
      <rPr>
        <sz val="10"/>
        <color rgb="FF000000"/>
        <rFont val="Calibri"/>
        <family val="2"/>
        <charset val="1"/>
      </rPr>
      <t xml:space="preserve"> </t>
    </r>
    <r>
      <rPr>
        <sz val="10"/>
        <color rgb="FF000000"/>
        <rFont val="CIDFont+F1"/>
        <charset val="128"/>
      </rPr>
      <t>Dysmenorrhoe, Neuralgien, Gelenk-, Zahnschmerzen; für tumorassoziierte Schmerzen NICHT geeignet; Fieber; Thrombozytenaggregationshemmung (niedrigdosiert, ca. 100 mg/d) zur kardiovaskulären Risikoreduktion</t>
    </r>
  </si>
  <si>
    <r>
      <rPr>
        <sz val="11"/>
        <color rgb="FF000000"/>
        <rFont val="Calibri"/>
        <family val="2"/>
        <charset val="1"/>
      </rPr>
      <t>GI: okkulte Blutungen, häufiger, klinisch unbedeutend; massive Blutungen selten, ggf. lebensbedrohend; ulkogen. Verlängerte Blutungszeit → Hemmung der Thrombozytenaggregation
Analgetikatoleranz → Aspirin-sensitives Asthma, Schwangerschaft: Blutungsrisiko, vorzeitiger Verschluss des Ductus Botalli; verlängerte Schwangerschaft, Geburt; perinatale Sterblichkeit</t>
    </r>
    <r>
      <rPr>
        <sz val="10"/>
        <color rgb="FF000000"/>
        <rFont val="CIDFont+F1"/>
        <charset val="128"/>
      </rPr>
      <t>↑</t>
    </r>
  </si>
  <si>
    <t>Magen-Darmulzera, Asthma bronchiale, vorgeschädigte Niere, hämorrhagische Diathese, Antikoagulantien (außer niedrigdosiertem Heparin), Analgetikaintoleranz, Kinder und Jugendliche mit fieberhaften Virusinfekten → Reye-Syndrom</t>
  </si>
  <si>
    <r>
      <rPr>
        <sz val="11"/>
        <color rgb="FF37761D"/>
        <rFont val="Calibri"/>
        <family val="2"/>
        <charset val="1"/>
      </rPr>
      <t xml:space="preserve">Wechselwirkungen mit Antikoagulantien; Hypoglykämie nach Sulfonylharnstoffen (hohe Dosen); Corticosteroid, NSAID → GI-Störungen </t>
    </r>
    <r>
      <rPr>
        <sz val="10"/>
        <color rgb="FF37761D"/>
        <rFont val="CIDFont+F1"/>
        <charset val="1"/>
      </rPr>
      <t>↑</t>
    </r>
  </si>
  <si>
    <t xml:space="preserve">Dronabinol </t>
  </si>
  <si>
    <r>
      <rPr>
        <sz val="11"/>
        <color rgb="FF000000"/>
        <rFont val="Calibri"/>
        <family val="2"/>
        <charset val="1"/>
      </rPr>
      <t>Cannabinoid-CB</t>
    </r>
    <r>
      <rPr>
        <vertAlign val="subscript"/>
        <sz val="11"/>
        <color rgb="FF000000"/>
        <rFont val="Calibri"/>
        <family val="2"/>
        <charset val="1"/>
      </rPr>
      <t>1</t>
    </r>
    <r>
      <rPr>
        <sz val="11"/>
        <color rgb="FF000000"/>
        <rFont val="Calibri"/>
        <family val="2"/>
        <charset val="1"/>
      </rPr>
      <t>-Rezeptor-Agonisten Endocannabinoidsystem Cannabinoid-CB</t>
    </r>
    <r>
      <rPr>
        <vertAlign val="subscript"/>
        <sz val="11"/>
        <color rgb="FF000000"/>
        <rFont val="Calibri"/>
        <family val="2"/>
        <charset val="1"/>
      </rPr>
      <t>1</t>
    </r>
    <r>
      <rPr>
        <sz val="11"/>
        <color rgb="FF000000"/>
        <rFont val="Calibri"/>
        <family val="2"/>
        <charset val="1"/>
      </rPr>
      <t>-Rezeptor-Agonisten (CB</t>
    </r>
    <r>
      <rPr>
        <vertAlign val="subscript"/>
        <sz val="11"/>
        <color rgb="FF000000"/>
        <rFont val="Calibri"/>
        <family val="2"/>
        <charset val="1"/>
      </rPr>
      <t>1</t>
    </r>
    <r>
      <rPr>
        <sz val="11"/>
        <color rgb="FF000000"/>
        <rFont val="Calibri"/>
        <family val="2"/>
        <charset val="1"/>
      </rPr>
      <t>R-Agonisten) Q9 Schmerz Tumortherapeutika</t>
    </r>
  </si>
  <si>
    <t>Endocannabinoidsystem</t>
  </si>
  <si>
    <r>
      <rPr>
        <sz val="11"/>
        <color rgb="FF000000"/>
        <rFont val="Calibri"/>
        <family val="2"/>
        <charset val="1"/>
      </rPr>
      <t>Cannabinoid-CB</t>
    </r>
    <r>
      <rPr>
        <vertAlign val="subscript"/>
        <sz val="11"/>
        <color rgb="FF000000"/>
        <rFont val="Calibri"/>
        <family val="2"/>
        <charset val="1"/>
      </rPr>
      <t>1</t>
    </r>
    <r>
      <rPr>
        <sz val="11"/>
        <color rgb="FF000000"/>
        <rFont val="Calibri"/>
        <family val="2"/>
        <charset val="1"/>
      </rPr>
      <t>-Rezeptor-Agonisten (CB</t>
    </r>
    <r>
      <rPr>
        <vertAlign val="subscript"/>
        <sz val="11"/>
        <color rgb="FF000000"/>
        <rFont val="Calibri"/>
        <family val="2"/>
        <charset val="1"/>
      </rPr>
      <t>1</t>
    </r>
    <r>
      <rPr>
        <sz val="11"/>
        <color rgb="FF000000"/>
        <rFont val="Calibri"/>
        <family val="2"/>
        <charset val="1"/>
      </rPr>
      <t>R-Agonisten)</t>
    </r>
  </si>
  <si>
    <r>
      <rPr>
        <sz val="11"/>
        <color rgb="FF000000"/>
        <rFont val="Calibri"/>
        <family val="2"/>
        <charset val="1"/>
      </rPr>
      <t>WM: Bindung an Rezeptoren des Endocannabinoidsystems (CB</t>
    </r>
    <r>
      <rPr>
        <vertAlign val="subscript"/>
        <sz val="11"/>
        <color rgb="FF000000"/>
        <rFont val="Calibri"/>
        <family val="2"/>
        <charset val="1"/>
      </rPr>
      <t>1</t>
    </r>
    <r>
      <rPr>
        <sz val="11"/>
        <color rgb="FF000000"/>
        <rFont val="Calibri"/>
        <family val="2"/>
        <charset val="1"/>
      </rPr>
      <t>-Rezeptor) 
W: CB1-Rezeptor: v. a. im ZNS, Modulation von Schlaf, Appetit, Stimmung und Schmerzwahrnehmung</t>
    </r>
  </si>
  <si>
    <t>Mögliche Indikationen (nach DGS-Praxisleitlinie 2018): Chronischer Schmerz, Tumorschmerz, nicht tumorbedingter Schmerz, neuropathischer Schmerz, viszeraler Schmerz, Schlafstörung bei chronischem Schmerz, rheumatologisch ausgelöster Schmerz, Muskelschmerz, Fibromyalgie, Spastik bei Multipler Sklerose und schmerzhafte Spastik, Chemotherapie-bedingte Übelkeit und Erbrechen, Untergewicht/Appetitlosigkeit/Kachexie, Tourette-Syndrom</t>
  </si>
  <si>
    <t>Psychopathologische UAW bei 1 % der Patienten (Müdigkeit, Schläfrigkeit, Angst, Unruhe, Halluzinationen, Verwirrtheit, Beeinträchtigung von Gedächtnis, Reaktionsfähigkeit, Motorik → Nur im Einzelfall Verkehrstüchtigkeit erhalten), Mundtrockenheit, orthostatische Beschwerden/Schwindel, Tachykardie (anfangs)/ Bradykardie (bei Langzeittherapie), Flush, Blutdruckabfall, Begünstigung der Entwicklung von Schizophrenien/Psychosen, Denkstörungen und Antriebsstörungen (v. a. Anwendung im Jugendalter)</t>
  </si>
  <si>
    <t>Strenge KI: Schwere psychiatrische Erkrankungen (v. a. Psychosen, auch außerhalb der floriden Phasen), Schwangerschaft/ Stillzeit
Relative KI: Suchterkrankungen (aktuell oder anamnestisch), Kinder/Jugendliche</t>
  </si>
  <si>
    <t xml:space="preserve">Cannabinoide = heterogene Gruppe pharmakologisch wirksamer Substanzen mit Affinität zu Cannabinoid_x0002_Rezeptoren 
o Phytocannabinoide: v.a. aus Hanf-Pflanzen (Cannabis sativa); häufigste 
Phytocannabinoide: Tetrahydrocannabinol THC), Cannabidiol (CBD), Cannabigerol 
(CBG), Cannabielsoin (CBE), Cannabicitran (CBT), Cannabicyclol (CBC) 
o Endocannabinoide: körpereigene Cannabinoide 
o Synthetische Cannabinoide                           
verschreibungsfähige und erstattungsfähige Cannabis-basierte Medikamente in Deutschland (seit März 2017 auch , mit BtM-Rezept): Cannabisblüten / Cannabis flos, Cannabisextrakte, Dronabinol, Nabilon, Nabiximols </t>
  </si>
  <si>
    <t xml:space="preserve">Suxamethonium </t>
  </si>
  <si>
    <t>Nikotinische Acetylcholin-rezeptor-Agonisten Anästhesie Narkose Cholinerges System Nikotinische Acetylcholin-rezeptor-Agonisten (nAChR-Agonisten) Muskelrelaxation</t>
  </si>
  <si>
    <t>Nikotinische Acetylcholin-rezeptor-Agonisten (nAChR-Agonisten)</t>
  </si>
  <si>
    <t>WM: Bindung an nikotinische Acetylcholin-Rezeptoren →  Auslösung einer Depolarisation und damit Erregung der Muskelfaser. Im Unterschied zu Acetylcholin folgt im Anschluss jedoch keine Repolarisation, weshalb der Muskel von Acetylcholin  vorübergehend nicht mehr erregt werden kann.
W: Muskelrelaxierend</t>
  </si>
  <si>
    <t>https://www.pharmawiki.ch/wiki/index.php?wiki=Suxamethoniumchlorid</t>
  </si>
  <si>
    <t>Kurzzeitige Muskelrelaxation (Intubation vor operativen Eingriffen, Geburtshilfe), Dauerrelaxation bei kurzen Eingriffen, Erleichterung der Reposition von Frakturen und Luxationen, Mitigierung von Krämpfen bei Elektroschockbehandlung</t>
  </si>
  <si>
    <t>Muskelschmerzen, unwillkürliche Muskelkontraktionen, Hyperkaliämie, Herzrhythmusstörungen, Bradykardie, Myoglobinämie, Erhöhung des intraokulären Drucks, Erhöhung des Drucks im Magen → Risiko für Erbrechen</t>
  </si>
  <si>
    <t>24-48 h nach schweren Verbrennungen/Verletzungen, schwere langandauernde Sepsis, schwere subakute Denervierung der Skelettmuskulatur oder Verletzung der oberen Nervenbahnen, schwere Hyperkaliämie, bei fehlender Möglichkeit zur Durchführung der künstlichen Beatmung</t>
  </si>
  <si>
    <t>https://eref.thieme.de/referenz-webapp/images/supmat/292010101_Suxamethonuimchlorid.pdf</t>
  </si>
  <si>
    <t>Schwangerschaft: Apnoe-Risiko beim Kind
Stillzeit: nur bei strenger Indikationsstellung</t>
  </si>
  <si>
    <t xml:space="preserve">Rocuronium </t>
  </si>
  <si>
    <t>Nikotinische Acetylcholin-rezeptor-Antagonisten Anästhesie Narkose Cholinerges System Nikotinische Acetylcholin-rezeptor-Antagonisten (nAChR-Antagonisten) Allgemeinanästhesie</t>
  </si>
  <si>
    <t>Nikotinische Acetylcholin-rezeptor-Antagonisten (nAChR-Antagonisten)</t>
  </si>
  <si>
    <t>WM: Bindung an nikotinische Acetylcholin-Rezeptoren →  Nicht-depolarisierender neuromuskulärer Blocker
W: Lähmung und Erschlaffung der Muskeln</t>
  </si>
  <si>
    <t>https://www.pharmawiki.ch/wiki/index.php?wiki=Rocuroniumbromid</t>
  </si>
  <si>
    <t>Allgemeinanästhesie</t>
  </si>
  <si>
    <t xml:space="preserve">Injektionsschmerz (lokal, durch Aktivierung kutaner Nozizeptoren), Überempfindlichkeit, In höheren Dosen blockiert Rocuronium die Acetylcholinrezeptoren der postganglionären parasympathischen Neurone → Mundtrockenheit, Tachykardie </t>
  </si>
  <si>
    <t>Fachinformation Inresa 10 mg/ml</t>
  </si>
  <si>
    <t xml:space="preserve">Überempfindlichkeit  </t>
  </si>
  <si>
    <r>
      <rPr>
        <sz val="10"/>
        <rFont val="Arial"/>
        <charset val="1"/>
      </rPr>
      <t xml:space="preserve">Rocuronium wird häufig als Muskelrelaxans für längere Operationen eingesetzt. Weiterhin eignet es sich bei schwierigen </t>
    </r>
    <r>
      <rPr>
        <sz val="10"/>
        <color rgb="FF0000FF"/>
        <rFont val="Arial"/>
        <charset val="1"/>
      </rPr>
      <t>Intubationen</t>
    </r>
    <r>
      <rPr>
        <sz val="10"/>
        <rFont val="Arial"/>
        <charset val="1"/>
      </rPr>
      <t xml:space="preserve">, da seine Wirkung sofort mit </t>
    </r>
    <r>
      <rPr>
        <sz val="10"/>
        <color rgb="FF0000FF"/>
        <rFont val="Arial"/>
        <charset val="1"/>
      </rPr>
      <t>Sugammadex</t>
    </r>
    <r>
      <rPr>
        <sz val="10"/>
        <rFont val="Arial"/>
        <charset val="1"/>
      </rPr>
      <t xml:space="preserve"> antagonisiert werden kann. Aufgrund seiner kurzen Anschlagzeit wird Rocuronium als Alternative zu </t>
    </r>
    <r>
      <rPr>
        <sz val="10"/>
        <color rgb="FF0000FF"/>
        <rFont val="Arial"/>
        <charset val="1"/>
      </rPr>
      <t>Succinylcholin</t>
    </r>
    <r>
      <rPr>
        <sz val="10"/>
        <rFont val="Arial"/>
        <charset val="1"/>
      </rPr>
      <t xml:space="preserve"> zur </t>
    </r>
    <r>
      <rPr>
        <sz val="10"/>
        <color rgb="FF0000FF"/>
        <rFont val="Arial"/>
        <charset val="1"/>
      </rPr>
      <t>Blitzeinleitung</t>
    </r>
    <r>
      <rPr>
        <sz val="10"/>
        <rFont val="Arial"/>
        <charset val="1"/>
      </rPr>
      <t xml:space="preserve"> verwendet. Des Weiteren kommt Rocuronium auch bei der Dauerrelaxierung von beatmeten Patienten auf der </t>
    </r>
    <r>
      <rPr>
        <sz val="10"/>
        <color rgb="FF0000FF"/>
        <rFont val="Arial"/>
        <charset val="1"/>
      </rPr>
      <t>Intensivstation</t>
    </r>
    <r>
      <rPr>
        <sz val="10"/>
        <rFont val="Arial"/>
        <charset val="1"/>
      </rPr>
      <t xml:space="preserve"> zum Einsatz. </t>
    </r>
  </si>
  <si>
    <t>https://flexikon.doccheck.com/de/Rocuroniumbromid</t>
  </si>
  <si>
    <t xml:space="preserve">Propofol </t>
  </si>
  <si>
    <t xml:space="preserve">GABAerges System Diisopropylphenole  Anästhesie Narkose GABAerges System Diisopropylphenole Narkoseeinleitung Q9 </t>
  </si>
  <si>
    <t>GABAerges System</t>
  </si>
  <si>
    <t>Diisopropylphenole</t>
  </si>
  <si>
    <r>
      <rPr>
        <sz val="11"/>
        <color rgb="FF000000"/>
        <rFont val="Calibri"/>
        <family val="2"/>
        <charset val="1"/>
      </rPr>
      <t>WM: Bindung an die GABA</t>
    </r>
    <r>
      <rPr>
        <vertAlign val="subscript"/>
        <sz val="11"/>
        <color rgb="FF000000"/>
        <rFont val="Calibri"/>
        <family val="2"/>
        <charset val="1"/>
      </rPr>
      <t>A</t>
    </r>
    <r>
      <rPr>
        <sz val="11"/>
        <color rgb="FF000000"/>
        <rFont val="Calibri"/>
        <family val="2"/>
        <charset val="1"/>
      </rPr>
      <t>-Rezeptor β-Untereinheit und dadurch Verstärkung des Effekts von GABA. Dadurch strömt vermehrt Chlorid in die Postsynapse und es kommt zur Hyperpolarisation, so dass schlussendlich die Erregbarkeit der Neuronen vermindert wird
W: anästhesierend, hat keine analgetische Wirkung</t>
    </r>
  </si>
  <si>
    <t>https://www.gelbe-liste.de/wirkstoffe/Propofol_1641#Wirkmechanismus</t>
  </si>
  <si>
    <t>Narkoseeinleitung und Aufrechterhaltung einer Allgemeinanästhesie (gemeinsam mit einem Analgetikum), Sedierung z.B. bei Magen- und Darmspiegelungen</t>
  </si>
  <si>
    <t>https://www.pharmawiki.ch/wiki/index.php?wiki=propofol</t>
  </si>
  <si>
    <t>Sehr häufig: Schmerzen an der Injektionsstelle
Häufig: Bradykardie, Hypotension, vorübergehende Apnoe, Übelkeit und Erbrechen, Kopfschmerzen</t>
  </si>
  <si>
    <t>Überempfindlichkeit, Sedierung von Kindern unter 16 Jahren auf der Intensivstation</t>
  </si>
  <si>
    <t xml:space="preserve">Als besonders positive Eigenschaften gelten das relativ angenehme Einschlafen und Aufwachen sowie die Tatsache, dass Übelkeit und Erbrechen (Postoperative Übelkeit und Erbrechen) seltener als bei Narkosegasen auftrete </t>
  </si>
  <si>
    <t>https://de.wikipedia.org/wiki/Propofol</t>
  </si>
  <si>
    <t xml:space="preserve">Etomidat </t>
  </si>
  <si>
    <t>GABAerges System Phenylethylimidazole  Anästhesie Narkose GABAerges System Phenylethylimidazole Kurzzeithypnotikum</t>
  </si>
  <si>
    <t>Phenylethylimidazole</t>
  </si>
  <si>
    <t>WM:  Bindung an GABA-Rezeptoren
W: hypnotisch (keine Schmerzhemmung)</t>
  </si>
  <si>
    <t>https://eref.thieme.de/referenz-webapp/images/supmat/292010101_Etomidat.pdf</t>
  </si>
  <si>
    <t>Kurzzeithypnotikum zum Einleiten einer Narkose</t>
  </si>
  <si>
    <t xml:space="preserve">Myoklonie, Hemmung der Steroidsynthese der Nebennierenrinde, Atemdepression, Apnoe, vorübergehender Blutdruckabfall, Übelkeit und Erbrechen, </t>
  </si>
  <si>
    <t>https://www.pharmawiki.ch/wiki/index.php?wiki=Etomidat</t>
  </si>
  <si>
    <t>Überempfindlichkeit, Neugeborene und Säuglinge bis 6 Monate</t>
  </si>
  <si>
    <t>SS: Nur bei strenger Indikationsstellung
SZ: Etomidat tritt in die Muttermilch über, daher Stillen erst nach 24 h wieder aufnehmen</t>
  </si>
  <si>
    <t xml:space="preserve">Desfluran </t>
  </si>
  <si>
    <t>Membranstabilisation Haloether Anästhesie Narkose Membranstabilisation Inhalationsanästhetikum</t>
  </si>
  <si>
    <t>Membranstabilisation</t>
  </si>
  <si>
    <t>Haloether</t>
  </si>
  <si>
    <t>WM: Der Wirkungs­me­chanismus von Desfluran ist nicht ein­deu­tig ge­klärt. Aufgrund der Lipophilie werden ver­schiedene Wechsel­wirkungen mit Zellmembranen so­wie ei­ne Beeinflussung von membran­stän­digen Rezeptoren wie NMDA-Rezeptoren, GABA-Rezeptoren und Glycin-Rezeptoren ver­mu­tet.
W: Des­fluran wirkt hypno­tisch (Bewusstseinsverlust), schwach muskelrelaxie­rend und schwach analgetisch</t>
  </si>
  <si>
    <t>https://www.pschyrembel.de/Desfluran/K0RR7</t>
  </si>
  <si>
    <t>Volatiles Inhalationsanästhetikum zur Einleitung und Aufrechtererhaltung einer Vollnarkose</t>
  </si>
  <si>
    <t>Sehr häufig: Erbrechen, Übelkeit
Häufig: Pharyngitis, Anhalten des Atems, Kopfschmerzen, Konjunktivitis, Knotenrhythmus, Bradykardie, Tachykardie, Hypertonie, Apnoe, Husten, Laryngospasmus, übermäßige Speichelsekretion, Kreatininphosphokinase erhöht, abnormales EKG</t>
  </si>
  <si>
    <t>Fachinformation Suprane (Baxter)</t>
  </si>
  <si>
    <t>Überempfindlichkeit gegenüber halogenierten Substanzen, bekannte oder erblich bedingte Neigung zu maligner Hyperthermie, Patienten mit Risiko für Koronararterienerkrankung oder Patienten, bei denen Anstieg Herzfrequenz bzw. Blutdruck vermieden werden muss, bei pädriatischen Patienten aufgrund häufigen Auftretens von Husten, Anhalten des Atems, Apnoe, Laryngospasmus und verstärkter Sekretion</t>
  </si>
  <si>
    <t>SS/SZ: nicht empfohlen</t>
  </si>
  <si>
    <t>Inhalationsanästhetika.jpg
Inhalationsanästhetika_Tabelle.jpg</t>
  </si>
  <si>
    <t>Mutschler Arzneimittelwirkungen, 11. Auflage, S. 305-306 Abb. 18.11 &amp; Tab. 18.2</t>
  </si>
  <si>
    <t xml:space="preserve">Sevofluran </t>
  </si>
  <si>
    <t>Membranstabilisation Haloether Anästhesie Narkose Inhalationsanästhetikum</t>
  </si>
  <si>
    <t>WM: Der Wirkungs­me­chanismus von Sevofluran ist nicht ein­deu­tig ge­klärt. Aufgrund der Lipophilie werden ver­schiedene Wechsel­wirkungen mit Zellmembranen so­wie ei­ne Beeinflussung von membran­stän­digen Rezeptoren wie NMDA-Rezeptoren, GABA-Rezeptoren und Glycin-Rezeptoren ver­mu­tet.
W: Sevofluran wirkt hypno­tisch (Bewusstseins­verlust), schwach muskelrelaxie­rend und schwach analgetisch</t>
  </si>
  <si>
    <t>https://www.pschyrembel.de/sevofluran/K0QAU/doc/</t>
  </si>
  <si>
    <t>Volatiles Inhalationsanästhetikum zur Einleitung und Aufrechtererhaltung einer Vollnarkose. Da Sevofluran nicht die Schleimhäute reizt und eine Narkoseeinleitung mittels Maske möglich ist, wird es häufig in der Kinderanästhesie verwendet</t>
  </si>
  <si>
    <t xml:space="preserve">Sehr häufig: Bradykardie, Hypotonie, Husten, Unruhe, Übelkeit, Erbrechen
Häufig: Somnolenz, Schwindel, Kopfschmerzen, Tachykardie, Hypertonie, Atembeschwerden, Atemdepression, Laryngospasmus, Obstruktion der Atemwege, verstärkte Speichelbildung, Schüttelfrost, Fieber, Abnormale Blutglucosewerte, Abnormale Leberfunktionstests, Abnormale Leukozytenzahl, Erhöhter Fluoridspiegel im Blut, Hypothermie </t>
  </si>
  <si>
    <t>Fachinformation Sevofluran (Baxter)</t>
  </si>
  <si>
    <t xml:space="preserve">Überempfindlichkeit gegen Sevofluran oder andere halogenierte Anästhetika (z. B. bei Leberfunktionsstörung, ungeklärten Fieberzuständen oder Leukozytose nach einer Inhalationsnarkose in der Vorgeschichte), Hepatitis oder Leberfunktionsstörung mit Ikterus, Fieber und Eosinophilie nach Inhalationsnarkose mit halogenierten Anästhetika in der Patientenvorgeschichte, genetische Disposition für maligne Hyperthermie </t>
  </si>
  <si>
    <t>Die Metabolisierungsrate von Sevofluran liegt zwischen 3 und 5 %. Dabei wird neben Hexafluorisopropanol anorganisches Fluorid freigesetzt.                                   SS/SZ nicht empfohlen, Reproduktionstoxizität in Tierstudien, Unbedenklich zur Narkose bei Kaiserschnittgeburten</t>
  </si>
  <si>
    <t>https://de.wikipedia.org/wiki/Sevofluran Fachinformation Sevofluran (Baxter)</t>
  </si>
  <si>
    <t>N2O</t>
  </si>
  <si>
    <t>Lachgas Stickoxide Anästhesie Narkose Schmerz Membranstabilisation Stickoxide Inhalationsanästhetikum</t>
  </si>
  <si>
    <t>Stickoxide</t>
  </si>
  <si>
    <t>WM: Der Wirkmechanismus ist nicht eindeutig geklärt. Vermutet wird, dass die analgetische Wirkung auf die Aktivierung von Opioid-Rezeptoren zurückzuführen ist. Die anxiolytische Wirkung beruht wahrscheinlich auf Interaktion mit GABA-Rezeptoren.
W: analgetisch, sedierend, anxiolytisch, schwach anästhetisch, schwach amnestisch und sehr schwach muskelentspannend</t>
  </si>
  <si>
    <t>https://www.pschyrembel.de/N2O/K0CEM/doc/
https://www.pharmawiki.ch/wiki/index.php?wiki=Lachgas</t>
  </si>
  <si>
    <t>Inhalationsanästhetikum (balancierte Anästhesie) sowie gemischt mit Sauerstoff als Kurzzeitanalgetikum, beispielsweise in der Geburtshilfe und Zahnmedizin.</t>
  </si>
  <si>
    <t>https://www.pschyrembel.de/N2O/K0CEM/doc/</t>
  </si>
  <si>
    <t>Zu den häufigsten möglichen UAW gehören Schwindel, Benommenheit, Müdigkeit, Euphorie, Übelkeit, Erbrechen, Blähungen und ein Druckgefühl im Mittelohr. N2O inaktiviert Vitamin B12 und kann bei regelmäßiger Anwendung Symptome eines Vitamin-B12-Mangels verursachen.</t>
  </si>
  <si>
    <t>https://www.pharmawiki.ch/wiki/index.php?wiki=Lachgas</t>
  </si>
  <si>
    <r>
      <rPr>
        <sz val="11"/>
        <color rgb="FF000000"/>
        <rFont val="Calibri"/>
        <family val="2"/>
        <charset val="1"/>
      </rPr>
      <t xml:space="preserve">Überempfindlichkeit gegen N2O, Vitamin-B12-Mangel, erhöhter Hirndruck </t>
    </r>
    <r>
      <rPr>
        <sz val="11"/>
        <color rgb="FF37761D"/>
        <rFont val="Calibri"/>
        <family val="2"/>
        <charset val="1"/>
      </rPr>
      <t>(N2O diffundiert rasch in lufthaltige Hohlräume, daher kommt es zu einer Volumenzunahme des Hohlraumes bzw. Innendruckerhöhung. Deshalb nicht anzuwenden bei Patienten mit Pneumothorax, Ileus, Mediastinalemphysem, Emphysemblasen, Pneumopericard, Luftembolien und Gaseinschlüssen im Glaskörper sowie z. B. bei Mittelohrchirurgie, Pneumoenzephalographie, Operationen in sitzender Position und nach extrakorporaler Zirkulation)</t>
    </r>
  </si>
  <si>
    <t>Fachinformation N2O Rießner-Gase GmbH</t>
  </si>
  <si>
    <t>SS/SZ: Kein Einsatz im ersten und zweiten Trimenon empfohlen, im letzten Trimenon und in der Stillzeit nur nach sorgfältiger Nutzen-/Risiko-Abwägung</t>
  </si>
  <si>
    <t xml:space="preserve">Buprenorphin </t>
  </si>
  <si>
    <t>µ-Opioidrezeptor-Agonisten MOR-Agonisten Opioidanalgetika Opioide Schmerz Peptiderge Systeme</t>
  </si>
  <si>
    <t>Μ-Opioidrezeptor-Agonisten (MOR-Agonisten)</t>
  </si>
  <si>
    <t>WM: partieller µ-Opioidrezeptor-Agonist (Ceiling-Effekt), hohe Rezeptoraffinität 
W: 
Zentrale Wirkungen:
Dämpfend (Analgesie, Euphorie, Dysphorie, Sedativ-hypnotisch, Atemdepression, Antitussiv), Erregend (Brechzentrum (Area postrema), Miosis, Pethidin/Norpethidin → Krämpfe), Chronische Effekte (Toleranz)
Periphere Wirkungen:
Tonuserhöhung → glatte Muskulatur (Magen, Darm → Obstipation, Gallenblase, Urether → Konstriktion im unteren Drittel, Harnblase → Harnverhaltung, Uterus → Wehenverlängerung)
Kardiovaskuläres System:
Zentral (Sympathikolyse), Peripher (periphere Vasodilatation)</t>
  </si>
  <si>
    <t>Q9-VL_Schmerztherapie_WS2021-22_SKRIPT
Q9-VL_Gastrointestinaltrakt_WS2122</t>
  </si>
  <si>
    <t>starke akute und chronische Schmerzen, Substitution</t>
  </si>
  <si>
    <r>
      <rPr>
        <sz val="11"/>
        <color rgb="FF000000"/>
        <rFont val="Calibri"/>
        <family val="2"/>
        <charset val="1"/>
      </rPr>
      <t xml:space="preserve">Sehr häufig: Übelkeit, Müdigkeit, Schlafstörungen, Benommenheit
Häufig: Obstipation, Übelkeit Erbechen, Dyspnoe, Schwindel, Kopfschmerzen, Miosis, orthostatische Hypotonie, Schwitzen
</t>
    </r>
    <r>
      <rPr>
        <sz val="11"/>
        <color rgb="FF37761D"/>
        <rFont val="Calibri"/>
        <family val="2"/>
        <charset val="1"/>
      </rPr>
      <t xml:space="preserve">Gelegentlich: Tachykardie, Bradykardie
</t>
    </r>
    <r>
      <rPr>
        <sz val="11"/>
        <color rgb="FF000000"/>
        <rFont val="Calibri"/>
        <family val="2"/>
        <charset val="1"/>
      </rPr>
      <t xml:space="preserve">
Transdermal → sehr häufig: Hautunverträglichkeiten (Erythem, Juckreiz)                                                                                          selten: Atemdepression  </t>
    </r>
  </si>
  <si>
    <t>Q9-VL_Schmerztherapie_WS2021-22_SKRIPT
Q9-VL_Gastrointestinaltrakt_WS2122
https://flexikon.doccheck.com/de/Buprenorphin
(Häufigkeiten)</t>
  </si>
  <si>
    <r>
      <rPr>
        <sz val="11"/>
        <color rgb="FF000000"/>
        <rFont val="Calibri"/>
        <family val="2"/>
        <charset val="1"/>
      </rPr>
      <t xml:space="preserve">Situationen, in denen Dämpfung des Atemzentrums vermieden werden muss </t>
    </r>
    <r>
      <rPr>
        <sz val="11"/>
        <color rgb="FF37761D"/>
        <rFont val="Calibri"/>
        <family val="2"/>
        <charset val="1"/>
      </rPr>
      <t>(Hirnödem (Vasodilatation), Lungenemphysem, Asthma bronchiale),</t>
    </r>
    <r>
      <rPr>
        <sz val="11"/>
        <color rgb="FF000000"/>
        <rFont val="Calibri"/>
        <family val="2"/>
        <charset val="1"/>
      </rPr>
      <t xml:space="preserve"> Situationen, in denen GI-Spastik vermieden werden muss (</t>
    </r>
    <r>
      <rPr>
        <sz val="11"/>
        <color rgb="FF37761D"/>
        <rFont val="Calibri"/>
        <family val="2"/>
        <charset val="1"/>
      </rPr>
      <t>akute Pankreatitis, Lebererkrankung, Diverticulitis, Colitis ulcerosa, paralytischer Ileus)</t>
    </r>
  </si>
  <si>
    <t>Q9-VL_Schmerztherapie_WS2021-22_SKRIPT</t>
  </si>
  <si>
    <r>
      <rPr>
        <sz val="11"/>
        <color rgb="FF000000"/>
        <rFont val="Calibri"/>
        <family val="2"/>
        <charset val="1"/>
      </rPr>
      <t xml:space="preserve">Ceiling-Effekt → geringere Atemdepression, im Gegensatz zu Fentanyl → auch in hohen Dosierungen keine Apnoe; hohe Affinität zum Opioidrezeptor → mit Naloxon nur schwer antagonisierbar;  analgetische Potenz 25- bis 30-fach höher als Morphin                                        </t>
    </r>
    <r>
      <rPr>
        <sz val="11"/>
        <color rgb="FF37761D"/>
        <rFont val="Calibri"/>
        <family val="2"/>
        <charset val="1"/>
      </rPr>
      <t xml:space="preserve"> betäubungsmittelpflichtiges Opioidanalgetikum mit partialagonistischer Wirkung. Es zählt zur Stufe 3 des WHO-Stufenschemas; liphophil → intravenöse, sublinguale und transdermale Formulierungen; auch bei Niereninsuffizienz anwendbar (renale Funktion ohne Einfluss, wird nicht dialysiert); hohe Plasmaeiweißbindung (96%), transdermale Anwendung → gute Compliance, da Wechsel nur alle 7 Tage (Norspan) bzw. alle 3,5 Tage (Transtec)  </t>
    </r>
  </si>
  <si>
    <t>Opioide_Rezeptorselektivität.jpg
Opioid-Analgetika_&amp;_Opioid-Antitussiva_Tabelle.jpg
Opioid-Analgetika_&amp;_Opioid-Antitussiva_Tabelle2.jpg</t>
  </si>
  <si>
    <t>Mutschler Arzneimittelwirkungen, 11. Auflage, S. 274, Tab. 15.5
Mutschler Arzneimittelwirkungen, 11. Auflage, S. 279-280, Tab. 15.6</t>
  </si>
  <si>
    <t xml:space="preserve">Dihydrocodein </t>
  </si>
  <si>
    <t>µ-Opioidrezeptor-Agonisten MOR-Agonisten Opioidanalgetika Opioide Schmerz Peptiderge Systeme Hustendämpfung</t>
  </si>
  <si>
    <t>WM: halbsynthetischer Opioidrezeptor-Agonist
W: Antitussiv, analgetisch; analgetische Potenz etwa 0,2 (ein Fünftel von Morphin)</t>
  </si>
  <si>
    <t>Hustendämpfung bei Reizhusten, darüber hinaus wirkt Dihydrocodein analgetisch und wird bei der Behandlung diverser Schmerzen wie Phantomschmerzen, Gelenkschmerzen, Neuropathien, sowie postoperativen Schmerzen angewendet</t>
  </si>
  <si>
    <t>https://flexikon.doccheck.com/de/DihydrocodeinQ9-VL_Schmerztherapie_WS2021-22_SKRIPT
Q9-VL_Gastrointestinaltrakt_WS2122</t>
  </si>
  <si>
    <t xml:space="preserve">Sehr häufig: Obstipation, Übelkeit, Erbrechen, Bauchschmerzen,
Häufig:  Mundtrockenheit, leichte Schläfrigkeit, Schwindel, leichte Kopfschmerzen
Gelegentlich: Dyspnoe, Atembeschwerden 
</t>
  </si>
  <si>
    <r>
      <rPr>
        <sz val="11"/>
        <color rgb="FF000000"/>
        <rFont val="Calibri"/>
        <family val="2"/>
        <charset val="1"/>
      </rPr>
      <t>Niedrigpotentes Opioidanalgetikum;</t>
    </r>
    <r>
      <rPr>
        <sz val="11"/>
        <color rgb="FF37761D"/>
        <rFont val="Calibri"/>
        <family val="2"/>
        <charset val="1"/>
      </rPr>
      <t xml:space="preserve"> bei Tumorschmerzen ggf. Einsatz auf WHO-Stufe 2 (DHC Mundipharma – Retardtabletten, 2x pro Tag), aber spastische Obstipation relativ ausgeprägt; Bei Substitution → Methadon, nur in nicht anders behandelbaren Fällen Codein oder Dihydrocodein. Für andere Indikationen → beide Wirkstoffe weiterhin vom BtMV ausgenommen, wesentlich mehr DDD (12.4x10</t>
    </r>
    <r>
      <rPr>
        <vertAlign val="superscript"/>
        <sz val="11"/>
        <color rgb="FF37761D"/>
        <rFont val="Calibri"/>
        <family val="2"/>
        <charset val="1"/>
      </rPr>
      <t>6</t>
    </r>
    <r>
      <rPr>
        <sz val="11"/>
        <color rgb="FF37761D"/>
        <rFont val="Calibri"/>
        <family val="2"/>
        <charset val="1"/>
      </rPr>
      <t xml:space="preserve"> DDD) → Antitussiva → Paracodein bzw.</t>
    </r>
    <r>
      <rPr>
        <sz val="11"/>
        <color rgb="FF000000"/>
        <rFont val="Calibri"/>
        <family val="2"/>
        <charset val="1"/>
      </rPr>
      <t xml:space="preserve"> </t>
    </r>
    <r>
      <rPr>
        <sz val="11"/>
        <color rgb="FF37761D"/>
        <rFont val="Calibri"/>
        <family val="2"/>
        <charset val="1"/>
      </rPr>
      <t>Remedacen. 
Analgesie-DDD: mind. 120 mg, Antitussiva-DDD: ca. 40 mg</t>
    </r>
  </si>
  <si>
    <t>Opioid-Analgetika_&amp;_Opioid-Antitussiva_Tabelle.jpg
Opioid-Analgetika_&amp;_Opioid-Antitussiva_Tabelle2.jpg</t>
  </si>
  <si>
    <t>Mutschler Arzneimittelwirkungen, 11. Auflage, S. 279-280, Tab. 15.6</t>
  </si>
  <si>
    <t xml:space="preserve">Fentanyl </t>
  </si>
  <si>
    <t>WM: synthetischer Opioidrezeptor-Agonist 
W: 
Zentrale Wirkungen:
Dämpfend (Analgesie, Euphorie, Dysphorie, Sedativ-hypnotisch, Atemdepression, Antitussiv), Erregend (Brechzentrum (Area postrema), Miosis, Pethidin/Norpethidin → Krämpfe), Chronische Effekte (Toleranz)
Periphere Wirkungen:
Tonuserhöhung → glatte Muskulatur (Magen, Darm → Obstipation, Gallenblase, Urether → Konstriktion im unteren Drittel, Harnblase → Harnverhaltung, Uterus → Wehenverlängerung)
Kardiovaskuläres System:
Zentral (Sympathikolyse), Peripher (periphere Vasodilatation)</t>
  </si>
  <si>
    <t>starke akute und chronische Schmerzen (z.B. chronische Tumorschmerzen, Polytrauma, Verbrennungen, Frakturen)</t>
  </si>
  <si>
    <t>Sehr häufig: Müdigkeit, Schlafstörungen, Benommenheit
Häufig: Schwindel, Kopfschmerzen, Miosis, orthostatische Hypotonie, Atemdepression, Übelkeit, Erbrechen, Schwitzen
Gelegentlich: Tachykardie, Bradykardie
Spastische Obstipation geringer als mit anderen Opioiden, Somnolenz, Verwirrtheit</t>
  </si>
  <si>
    <r>
      <rPr>
        <sz val="11"/>
        <color rgb="FF000000"/>
        <rFont val="Calibri"/>
        <family val="2"/>
        <charset val="1"/>
      </rPr>
      <t>Situationen, in denen Dämpfung des Atemzentrums vermieden werden muss (</t>
    </r>
    <r>
      <rPr>
        <sz val="11"/>
        <color rgb="FF37761D"/>
        <rFont val="Calibri"/>
        <family val="2"/>
        <charset val="1"/>
      </rPr>
      <t>Hirnödem (Vasodilatation),</t>
    </r>
    <r>
      <rPr>
        <sz val="11"/>
        <color rgb="FF000000"/>
        <rFont val="Calibri"/>
        <family val="2"/>
        <charset val="1"/>
      </rPr>
      <t xml:space="preserve"> Lungenemphysem, Asthma bronchiale), Situationen, in denen GI-Spastik vermieden werden muss </t>
    </r>
    <r>
      <rPr>
        <sz val="11"/>
        <color rgb="FF37761D"/>
        <rFont val="Calibri"/>
        <family val="2"/>
        <charset val="1"/>
      </rPr>
      <t>(akute Pankreatitis, Lebererkrankung, Diverticulitis, Colitis ulcerosa, paralytischer Ileus)</t>
    </r>
    <r>
      <rPr>
        <sz val="11"/>
        <color rgb="FF000000"/>
        <rFont val="Calibri"/>
        <family val="2"/>
        <charset val="1"/>
      </rPr>
      <t>, Selektive Serotonin-Wiederaufnahme-Hemmer (SSRI), Serotonin-Noradrenalin-Wiederaufnahme-Hemmer(SNRI), Monoaminooxidase (MAO)-Hemmer</t>
    </r>
  </si>
  <si>
    <r>
      <rPr>
        <sz val="11"/>
        <color rgb="FF000000"/>
        <rFont val="Calibri"/>
        <family val="2"/>
        <charset val="1"/>
      </rPr>
      <t xml:space="preserve">gute Penetranz der Haut bzw. Blut-Hirn-Schranke → geeignet zur Dauertherapie schwerer chronischer Schmerzen, 100x potenter als Morphin, Membranpflaster (Durogesic 12/25/50/75/100 µg/h, meist 100 µg/h); HWZ ca. 2-4 h, Wechsel TTS alle 72 h
CAVE: Serotonin-Syndrom bei gleichzeitiger Gabe serotonerg wirkender Arzneimittel                                </t>
    </r>
    <r>
      <rPr>
        <sz val="11"/>
        <color rgb="FF37761D"/>
        <rFont val="Calibri"/>
        <family val="2"/>
        <charset val="1"/>
      </rPr>
      <t xml:space="preserve"> liphophil → intravenöse, sublinguale, transmukosale und transdermale Formulierungen</t>
    </r>
  </si>
  <si>
    <t xml:space="preserve">Opioide_Rezeptorselektivität.jpg
</t>
  </si>
  <si>
    <t xml:space="preserve">Mutschler Arzneimittelwirkungen, 11. Auflage, S. 274, Tab. 15.5
</t>
  </si>
  <si>
    <t xml:space="preserve">Hydromorphon </t>
  </si>
  <si>
    <t>WM: µ-Opioidrezeptor-Agonist, ca. 7,5-fach stärker analgetisch als Morphin
W: 
Zentrale Wirkungen:
Dämpfend (Analgesie, Euphorie, Dysphorie, Sedativ-hypnotisch, Atemdepression, Antitussiv), Erregend (Brechzentrum (Area postrema), Miosis, Pethidin/Norpethidin → Krämpfe), Chronische Effekte (Toleranz)
Periphere Wirkungen:
Tonuserhöhung → glatte Muskulatur (Magen, Darm → Obstipation, Gallenblase, Urether → Konstriktion im unteren Drittel, Harnblase → Harnverhaltung, Uterus → Wehenverlängerung)
Kardiovaskuläres System:
Zentral (Sympathikolyse), Peripher (periphere Vasodilatation)</t>
  </si>
  <si>
    <t xml:space="preserve">starke akute und chronische Schmerzen </t>
  </si>
  <si>
    <r>
      <rPr>
        <sz val="11"/>
        <color rgb="FF000000"/>
        <rFont val="Calibri"/>
        <family val="2"/>
        <charset val="1"/>
      </rPr>
      <t xml:space="preserve">Häufig: Übelkeit, Obstipation, Bauchschmerzen, Schwächezustände, Angstzustände, Schwindel, Kopfschmerzen, Schwitzen, Pruritus, orthostatische Hypotonie, Harnverhalt, verstärkter Harndrang
</t>
    </r>
    <r>
      <rPr>
        <sz val="11"/>
        <color rgb="FF37761D"/>
        <rFont val="Calibri"/>
        <family val="2"/>
        <charset val="1"/>
      </rPr>
      <t>Gelegentlich: Dyspnoe, Tachykardie</t>
    </r>
  </si>
  <si>
    <r>
      <rPr>
        <sz val="11"/>
        <color rgb="FF37761D"/>
        <rFont val="Calibri"/>
        <family val="2"/>
        <charset val="1"/>
      </rPr>
      <t xml:space="preserve">
Bindet hauptsächlich an µ-Rezeptoren, ca. 7,5-fach stärker wirksam als Morphin, POB ca. 40 %, Wirkungseintritt 10-20 min; HWZ ca. 2,6 h; WD ca. 5 h; Proteinbindung gering, Retardformulierung WD 10-12 h, auch parenteral (i.v., s.c.) verfügbar; </t>
    </r>
    <r>
      <rPr>
        <sz val="11"/>
        <color rgb="FF000000"/>
        <rFont val="Calibri"/>
        <family val="2"/>
        <charset val="1"/>
      </rPr>
      <t xml:space="preserve"> keine aktiven Metaboliten (im Unterschied zu Morphin) nach Glukuronidierung überwiegend renale Elimination; Nieren-/Leberfunktion wenig Einfluss auf Kinetik → bevorzugt bei starker Einschränkung der Nierenfunktion/Leberfunktion, multimorbiden, geriatrischen Patienten; geringes Interaktionspotential (kein CYP-Metabolismus); n</t>
    </r>
    <r>
      <rPr>
        <sz val="11"/>
        <color rgb="FF37761D"/>
        <rFont val="Calibri"/>
        <family val="2"/>
        <charset val="1"/>
      </rPr>
      <t>eueres, retardiertes Präparat mit osmotischem System → Einmalgabe/d möglich</t>
    </r>
  </si>
  <si>
    <t xml:space="preserve">Methadon </t>
  </si>
  <si>
    <t>µ-Opioidrezeptor-Agonisten MOR-Agonisten Substitution Schmerz Peptiderge Systeme Analgetikum Schmerz</t>
  </si>
  <si>
    <t>WM: µ- und κ-Opioidrezeptor-Agonist
W: 
Zentrale Wirkungen:
Dämpfend (Analgesie, Euphorie, Dysphorie, Sedativ-hypnotisch, Atemdepression, Antitussiv), Erregend (Brechzentrum (Area postrema), Miosis, Pethidin/Norpethidin → Krämpfe), Chronische Effekte (Toleranz)
Periphere Wirkungen:
Tonuserhöhung → glatte Muskulatur (Magen, Darm → Obstipation, Gallenblase, Urether → Konstriktion im unteren Drittel, Harnblase → Harnverhaltung, Uterus → Wehenverlängerung)
Kardiovaskuläres System:
Zentral (Sympathikolyse), Peripher (periphere Vasodilatation)</t>
  </si>
  <si>
    <t>Q9-VL_Schmerztherapie_WS2021-22_SKRIPT
Q9-VL_Gastrointestinaltrakt_WS2122
https://www.pschyrembel.de/methadon/P05WA/doc/</t>
  </si>
  <si>
    <t>Vollsynthetisches Opioid, das als Analgetikum bei neuropathischen Schmerzen und zur Substitution bei Heroinabhängigkeit im Rahmen der Entzugsbehandlung eingesetzt wird.</t>
  </si>
  <si>
    <t>https://www.pschyrembel.de/methadon/P05WA/doc/</t>
  </si>
  <si>
    <t xml:space="preserve">Sehr häufig: Obstipation, Übelkeit, Erbrechen, Mundtrockenheit, Schwitzen, Müdigkeit, Schlafstörungen, Benommenheit
Häufig: Verwirrtheit, Harnretention 
</t>
  </si>
  <si>
    <t>Levomethadon: Racemisches D,L-Methadon → Apothekenrezepturen → Substitutionsbehandlung nach BtMVV-Änderung; sehr gute Resorption (POB 90 %) → orale Applikation, ED 2,5 mg → 4x potenter, weniger Obstipation als Morphin; HW ca. 17-55 h, WD 5-7 h, hepatischer Metabolismus</t>
  </si>
  <si>
    <t xml:space="preserve">Morphin </t>
  </si>
  <si>
    <t>WM: (fast nur) µ-Opioidrezeptor-Agonist
W: 
Zentrale Wirkungen:
Dämpfend (Analgesie, Euphorie, Dysphorie, Sedativ-hypnotisch, Atemdepression, Antitussiv), Erregend (Brechzentrum (Area postrema), Miosis, Pethidin/Norpethidin → Krämpfe), Chronische Effekte (Toleranz)
Periphere Wirkungen:
Tonuserhöhung → glatte Muskulatur (Magen, Darm → Obstipation, Gallenblase, Urether → Konstriktion im unteren Drittel, Harnblase → Harnverhaltung, Uterus → Wehenverlängerung)
Kardiovaskuläres System:
Zentral (Sympathikolyse), Peripher (periphere Vasodilatation)</t>
  </si>
  <si>
    <t xml:space="preserve">starke akute und chronische Schmerzen, Palliativmedizin (auch subkutan): bei Dyspnoe, Lungenödem </t>
  </si>
  <si>
    <t xml:space="preserve">Dosisabhängige Häufigkeit typischer Opiat-Nebenwirkungen; bei Daueranwendung v.a. Obstipation; weitere Nebenwirkungen: Übelkeit, Erbrechen, Sedierung, Benommenheit, Stimmungsveränderungen (Euphorie, Dysphorie), Schwitzen, Pruritus, Atemdepression, aber auch gezielte Anwendung bei Dyspnoe, z.B. in der Palliativmedizin (Durch die dämpfende Wirkung des Morphins auf das Atemzentrum wird der Sauerstoffbedarf gesenkt und der Patient hat das Gefühl, weniger Sauerstoff zu brauchen)
</t>
  </si>
  <si>
    <t xml:space="preserve">oral überwiegend Retardpräparate eingesetzt;
POB 20 % → ausgeprägter First-pass, ED 10 mg i.v., i.m., s.c.,; nach 20-30 min → max. Analgesie; WD 4-5 h; Konjugation bei Dauertherapie → aktive Metabolite, v.a. Morphin-6-glucuronid relevant → 2x Potenz von Morphin, dann Plasmaspiegel &gt; Morphin, HWZ ca. 2-3 h, WD 4-5 h, Kumulationsgefahr bei Niereninsuffizienz; Morphin = Referenzsubstanz in der Opioidtherapie
- Wirkdauer 2-4 h (bei chronischen Schmerzen → retardierte Präparate)
- oral, i.m, s.c, i.v., epidural, intrathekal – kein Pflaster
- höchste Obstipationsquote unter den Opioiden WHO Stufe III → zur Dauertherapie nicht mehr erste Wahl
</t>
  </si>
  <si>
    <t xml:space="preserve">Remifentanil </t>
  </si>
  <si>
    <t>µ-Opioidrezeptor-Agonisten MOR-Agonisten Opioidanalgetika Opioide Anästhesie Narkose Peptiderge Systeme</t>
  </si>
  <si>
    <t>WM: selektiver µ-Opioidrezeptor-Agonist
W: 
Zentrale Wirkungen:
Dämpfend (Analgesie, Euphorie, Dysphorie, Sedativ-hypnotisch, Atemdepression, Antitussiv), Erregend (Brechzentrum (Area postrema), Miosis, Pethidin/Norpethidin → Krämpfe), Chronische Effekte (Toleranz)
Periphere Wirkungen:
Tonuserhöhung → glatte Muskulatur (Magen, Darm → Obstipation, Gallenblase, Urether → Konstriktion im unteren Drittel, Harnblase → Harnverhaltung, Uterus → Wehenverlängerung)
Kardiovaskuläres System:
Zentral (Sympathikolyse), Peripher (periphere Vasodilatation)</t>
  </si>
  <si>
    <t>Q9-VL_Schmerztherapie_WS2021-22_SKRIPT
Q9-VL_Gastrointestinaltrakt_WS2122
https://www.pharmawiki.ch/wiki/index.php?wiki=Remifentanil</t>
  </si>
  <si>
    <t>Narkose während chirurgischer Eingriffen, Fortsetzung der Analgesie in der unmittelbar postoperativen Periode, Analgesie und Sedierung in der Intensivpflege</t>
  </si>
  <si>
    <t>https://www.pharmawiki.ch/wiki/index.php?wiki=Remifentanil</t>
  </si>
  <si>
    <t>Zu den häufigsten möglichen UAW gehören Muskelstarre der Skelettmuskulatur, Kardiodepression (tiefer Blutdruck, langsamer Puls), Übelkeit, Erbrechen, akute Atemdepression, Apnoe, Juckreiz, Zittern nach der Operation und Verstopfung</t>
  </si>
  <si>
    <t>Epidurale oder intrathekale Applikation, Allergie gegen den Wirkstoff, schwere bronchiale Obstruktion</t>
  </si>
  <si>
    <t>https://flexikon.doccheck.com/de/Remifentanil</t>
  </si>
  <si>
    <t>Wirkt ca. 200 x stärker als Morphin; ultrakurze Halbwertszeit, deshalb häufig zusammen mit Propofol oder anderen Hypnotika verwendet; Wirkdauer ca. 10 min; Mit SSRIs und anderen primär serotonerg wirksamen Arzneimitteln besteht die Gefahr eines zentralen Serotoninsyndroms</t>
  </si>
  <si>
    <t xml:space="preserve">Tilidin+Naloxon </t>
  </si>
  <si>
    <t>µ-Opioidrezeptor-Agonisten MOR-Agonisten µ-Opioidrezeptor-Antagonist MOR-Antagonisten Opioidanalgetika Opioide Schmerz Peptiderge Systeme</t>
  </si>
  <si>
    <t>µ-Opioidrezeptor-Agonisten und -Antagonisten (MOR-Agonisten und -Antagonisten)</t>
  </si>
  <si>
    <t>WM: Tilidin → µ-Opioidrezeptor-Agonist; Naloxon → µ-Opioidrezeptor-Antagonist
W: 
Zentrale Wirkungen:
Dämpfend (Analgesie, Euphorie, Dysphorie, Sedativ-hypnotisch, Atemdepression, Antitussiv), Erregend (Brechzentrum (Area postrema), Miosis, Pethidin/Norpethidin → Krämpfe), Chronische Effekte (Toleranz)
Periphere Wirkungen:
Tonuserhöhung → glatte Muskulatur (Magen, Darm → Obstipation, Gallenblase, Urether → Konstriktion im unteren Drittel, Harnblase → Harnverhaltung, Uterus → Wehenverlängerung)
Kardiovaskuläres System:
Zentral (Sympathikolyse), Peripher (periphere Vasodilatation)</t>
  </si>
  <si>
    <t>mittelstarke bis starke Schmerzen</t>
  </si>
  <si>
    <t>https://www.pharmawiki.ch/wiki/index.php?wiki=tilidin
Q9-VL_Schmerztherapie_WS2021-22_SKRIPT</t>
  </si>
  <si>
    <t>Zu den häufigsten möglichen UAW gehören Schwindel, Benommenheit, Schläfrigkeit, Müdigkeit, Übelkeit, Erbrechen, Verstopfung, Bauchschmerzen, Schwitzen und eine Atemdepression bei hoher Dosis</t>
  </si>
  <si>
    <t>https://www.pharmawiki.ch/wiki/index.php?wiki=tilidin</t>
  </si>
  <si>
    <t>Überempfindlichkeit, Opioidabhängigkeit, akute Porphyrie, Atemdepression, Darmverschluss, akutes Abdomen, Schädel-Hirn-Trauma, erhöhter intrakranieller Druck, gleichzeitige Behandlung mit MAO-Hemmern</t>
  </si>
  <si>
    <r>
      <rPr>
        <sz val="11"/>
        <color rgb="FF37761D"/>
        <rFont val="Calibri"/>
        <family val="2"/>
        <charset val="1"/>
      </rPr>
      <t xml:space="preserve">Als Retardtabletten → nicht BtMV-pflichtig → meist verordnet; Hingegen Tropfenform → BtMW-pflichtig → Abususpotential; Sonderstellung von Tilidin → bei schweren Schmerzen; ähnlich wie stark wirkende Opioide unter BtMV; </t>
    </r>
    <r>
      <rPr>
        <sz val="11"/>
        <color rgb="FF000000"/>
        <rFont val="Calibri"/>
        <family val="2"/>
        <charset val="1"/>
      </rPr>
      <t>partieller Agonist: Tilidin – WD ca. 6 h; Antagonist: Naloxon – WD ca. 60-90 min bei geringer POB, ED 50 mg; Leber →Metabolisierung zu Nortilidin (analgetisch  wirksame Substanz) → unzureichende Wirkung bei Leberinsuffizienz; bei eingeschränkter Nierenfunktion ist keine Dosisreduktion erforderlich; niedrigpotentes Opioidanalgetikum</t>
    </r>
  </si>
  <si>
    <t xml:space="preserve">Naloxon </t>
  </si>
  <si>
    <t>µ-Opioidrezeptor-Antagonisten MOR-Antagonisten Opioide Antidot Peptiderge Systeme</t>
  </si>
  <si>
    <t>µ-Opioidrezeptor-Antagonisten (MOR-Antagonisten)</t>
  </si>
  <si>
    <t>WM: kompetitiver Opioid-Antagonist mit höchster Affinität zum µ-Opioidrezeptor
W: keine opioiden Eigenschaften</t>
  </si>
  <si>
    <t>https://www.pharmawiki.ch/wiki/index.php?wiki=Naloxon</t>
  </si>
  <si>
    <r>
      <rPr>
        <sz val="11"/>
        <color rgb="FF000000"/>
        <rFont val="Calibri"/>
        <family val="2"/>
        <charset val="1"/>
      </rPr>
      <t xml:space="preserve">Parenteral und nasal zur Aufhebung der Wirkung von Opioiden (z. B. Atemdepression, Dämpfung, Koma, Überdosis, Vergiftung), peroral zur Schmerzbehandlung in Kombination mit Tilidin undOxycodon (systemische
Verfügbarkeit von Naloxon nach oraler Gabe &lt;3 %. Naloxon soll Opioidrezeptoren des Darmes blockieren →  angeblich weniger Obstipation. </t>
    </r>
    <r>
      <rPr>
        <sz val="11"/>
        <color rgb="FF37761D"/>
        <rFont val="Calibri"/>
        <family val="2"/>
        <charset val="1"/>
      </rPr>
      <t>Pharmakologisch relativ unsinnig, da Resorption
in oberen Darmabschnitten, wobei Naloxon in der Leber metabolisiert wird; Obstipation besteht jedoch hauptsächlich im Kolon descendens, insbesondere im Rektum; dies entspricht der relativen Verteilung der µ-Opioid-Rezeptoren. Effekt nur marginal, 40-70 % der Patienten benötigen weiterhin Laxanzien</t>
    </r>
    <r>
      <rPr>
        <sz val="11"/>
        <color rgb="FF000000"/>
        <rFont val="Calibri"/>
        <family val="2"/>
        <charset val="1"/>
      </rPr>
      <t>), sublingual in Kombination mit Buprenorphin zur Behandlung einer Opioidabhängigkeit (Ziel: Drogenwirkung wird gemildert nachgeahmt, Vermeidung von Beschaffungskriminalität etc.)</t>
    </r>
  </si>
  <si>
    <r>
      <rPr>
        <sz val="11"/>
        <color rgb="FF000000"/>
        <rFont val="Calibri"/>
        <family val="2"/>
        <charset val="1"/>
      </rPr>
      <t xml:space="preserve">Sehr häufig: 
Übelkeit
Häufig: 
Schwindel, Kopfschmerzen, Tachykardie, Hypotonie, Hypertonie, Erbrechen, postoperative Schmerzen
</t>
    </r>
    <r>
      <rPr>
        <sz val="11"/>
        <color rgb="FF37761D"/>
        <rFont val="Calibri"/>
        <family val="2"/>
        <charset val="1"/>
      </rPr>
      <t xml:space="preserve">
Gelegentlich:
Tremor, Schwitzen, Arrhythmien, Bradykardie, Diarrhoe, Mundtrockenheit, Hyperventilation, Reizung der Gefäßwand, lokale Reizung, lokale Entzündung</t>
    </r>
  </si>
  <si>
    <t>https://www.gelbe-liste.de/wirkstoffe/Naloxon_21993</t>
  </si>
  <si>
    <t>CAVE: Bei bestehender Opioidabhängigkeit kann der Einsatz von Naloxon ein akutes Entzugssyndrom auslösen
SS/SZ: Naloxon scheint nicht teratogen und es ist unklar ob es in die Muttermilch übergeht, dennoch strenge Indikationsstellung, weil es bei Neugeborenen zu Entzugssymptomen führen kann</t>
  </si>
  <si>
    <t xml:space="preserve">Sumatriptan </t>
  </si>
  <si>
    <r>
      <rPr>
        <sz val="11"/>
        <color rgb="FF000000"/>
        <rFont val="Calibri"/>
        <family val="2"/>
        <charset val="1"/>
      </rPr>
      <t>Migräne Kopfschmerz neurologische Erkrankungen Serotonerges System 5-Hydroxytryptamin-1</t>
    </r>
    <r>
      <rPr>
        <vertAlign val="subscript"/>
        <sz val="11"/>
        <color rgb="FF000000"/>
        <rFont val="Calibri"/>
        <family val="2"/>
        <charset val="1"/>
      </rPr>
      <t>B/D</t>
    </r>
    <r>
      <rPr>
        <sz val="11"/>
        <color rgb="FF000000"/>
        <rFont val="Calibri"/>
        <family val="2"/>
        <charset val="1"/>
      </rPr>
      <t>-Rezeptor-Agonisten (5-HT1</t>
    </r>
    <r>
      <rPr>
        <vertAlign val="subscript"/>
        <sz val="11"/>
        <color rgb="FF000000"/>
        <rFont val="Calibri"/>
        <family val="2"/>
        <charset val="1"/>
      </rPr>
      <t>B/D</t>
    </r>
    <r>
      <rPr>
        <sz val="11"/>
        <color rgb="FF000000"/>
        <rFont val="Calibri"/>
        <family val="2"/>
        <charset val="1"/>
      </rPr>
      <t>R-Agonisten)</t>
    </r>
  </si>
  <si>
    <t>Serotonerges System</t>
  </si>
  <si>
    <r>
      <rPr>
        <sz val="11"/>
        <color rgb="FF000000"/>
        <rFont val="Calibri"/>
        <family val="2"/>
        <charset val="1"/>
      </rPr>
      <t>5-Hydroxytryptamin-1</t>
    </r>
    <r>
      <rPr>
        <vertAlign val="subscript"/>
        <sz val="11"/>
        <color rgb="FF000000"/>
        <rFont val="Calibri"/>
        <family val="2"/>
        <charset val="1"/>
      </rPr>
      <t>B/D</t>
    </r>
    <r>
      <rPr>
        <sz val="11"/>
        <color rgb="FF000000"/>
        <rFont val="Calibri"/>
        <family val="2"/>
        <charset val="1"/>
      </rPr>
      <t>-Rezeptor-Agonisten (5-HT1</t>
    </r>
    <r>
      <rPr>
        <vertAlign val="subscript"/>
        <sz val="11"/>
        <color rgb="FF000000"/>
        <rFont val="Calibri"/>
        <family val="2"/>
        <charset val="1"/>
      </rPr>
      <t>B/D</t>
    </r>
    <r>
      <rPr>
        <sz val="11"/>
        <color rgb="FF000000"/>
        <rFont val="Calibri"/>
        <family val="2"/>
        <charset val="1"/>
      </rPr>
      <t>R-Agonisten)</t>
    </r>
  </si>
  <si>
    <r>
      <rPr>
        <sz val="11"/>
        <color rgb="FF000000"/>
        <rFont val="Calibri"/>
        <family val="2"/>
        <charset val="1"/>
      </rPr>
      <t>WM: selektiver Agonismus an 5HT</t>
    </r>
    <r>
      <rPr>
        <vertAlign val="subscript"/>
        <sz val="11"/>
        <color rgb="FF000000"/>
        <rFont val="Calibri"/>
        <family val="2"/>
        <charset val="1"/>
      </rPr>
      <t>1B/D</t>
    </r>
    <r>
      <rPr>
        <sz val="11"/>
        <color rgb="FF000000"/>
        <rFont val="Calibri"/>
        <family val="2"/>
        <charset val="1"/>
      </rPr>
      <t>-Rezeptoren. Der vaskuläre 5HT</t>
    </r>
    <r>
      <rPr>
        <vertAlign val="subscript"/>
        <sz val="11"/>
        <color rgb="FF000000"/>
        <rFont val="Calibri"/>
        <family val="2"/>
        <charset val="1"/>
      </rPr>
      <t>1B/D</t>
    </r>
    <r>
      <rPr>
        <sz val="11"/>
        <color rgb="FF000000"/>
        <rFont val="Calibri"/>
        <family val="2"/>
        <charset val="1"/>
      </rPr>
      <t>-Rezeptor wird überwiegend in kranialen Blutgefäßen exprimiert  und vermittelt Vasokonstriktion
W: Vasokonstriktion, antiphlogistisch, analgetisch</t>
    </r>
  </si>
  <si>
    <t>https://www.gelbe-liste.de/wirkstoffe/Sumatriptan_26117
https://www.pharmawiki.ch/wiki/index.php?wiki=sumatriptan</t>
  </si>
  <si>
    <t>oral: Akute Behandlung von Migräneanfällen mit oder ohne Aura
Subkutane Injektion: Akuttherapie von Migräneattacken mit oder ohne Aura und akute Behandlung des Clusterkopfschmerz</t>
  </si>
  <si>
    <t>https://www.gelbe-liste.de/wirkstoffe/Sumatriptan_26117</t>
  </si>
  <si>
    <t>häufig:
Schwindel, Benommenheit, Sensibilitätsstörungen inkl. Parästhesie und Hypästhesie, vorübergehender Blutdruckanstieg kurz nach Anwendung, Gesichtsrötung, Dyspnoe, Übelkeit und Erbrechen, Schweregefühl, Myalgie, Schmerzen, Hitzegefühl, Druckgefühl, Engegefühl, Schwächegefühl, Erschöpfung</t>
  </si>
  <si>
    <t>Überempfindlichkeit, Patienten, die einen Myokardinfarkt hatten oder unter einer ischämischen Herzkrankheit, koronaren Vasospasmen (Prinzmetal-Angina), peripheren vaskulären Erkrankungen oder Symptomen bzw. Anzeichen einer ischämischen Herzkrankheit leiden, Patienten mit Schlaganfall, schwere Leberinsuffizienz, mittelschwerer bis schwerer Bluthochdruck, gleichzeitige Anwendung von Ergotamin oder Ergotaminderivaten sowie weitere Triptane, gleichzeitige Anwendung von reversiblen oder irreversiblen MAO-Hemmern</t>
  </si>
  <si>
    <t>SS: Nach Abwägung des Nutzen-Risiko-Verhältnisses
SZ: 12 h nach Anwendung nicht stillen</t>
  </si>
  <si>
    <t>Tramadol</t>
  </si>
  <si>
    <t>Cyclohexanol-Derivate Opioide Schmerz Unbekannt</t>
  </si>
  <si>
    <t>Cyclohexanol-Derivate</t>
  </si>
  <si>
    <t>WM: synthetischer Partialagonist an μ-, δ- und κ-Opioidrezeptoren. Die Affinität ist jedoch gering und zeigt auch keine besondere Spezifität zu den einzelnen Opioidrezeptoren. Die Dämpfung der Schmerzwahrnehmung wird daher auch durch andere Mechanismen vermittelt, wie durch Hemmung der Wiederaufnahme von Noradrenalin in das Neuron, zudem serotoninfreisetzende Wirkung über die 5-HT2-Rezeptoren →  leicht antidepressive und anxiolytische Wirkung. Das vermehrte Auftreten von Übelkeit als unerwünschte Wirkung wird auch durch die verstärkte Serotonin-Freisetzung erklärt.
Niedrigpotentes Opioidanalgetikum
W:
analgetisch, leicht antidepressive und anxiolytische Wirkung</t>
  </si>
  <si>
    <t xml:space="preserve">Sehr häufig: Übelkeit, Schwindel
</t>
  </si>
  <si>
    <r>
      <rPr>
        <sz val="11"/>
        <color rgb="FF000000"/>
        <rFont val="Calibri"/>
        <family val="2"/>
        <charset val="1"/>
      </rPr>
      <t xml:space="preserve">Situationen in denen Dämpfung des Atemzentrums vermieden werden muss </t>
    </r>
    <r>
      <rPr>
        <sz val="11"/>
        <color rgb="FF37761D"/>
        <rFont val="Calibri"/>
        <family val="2"/>
        <charset val="1"/>
      </rPr>
      <t>(Hirnödem (Vasodilatation), Lungenemphysem, Asthma bronchiale),</t>
    </r>
    <r>
      <rPr>
        <sz val="11"/>
        <color rgb="FF000000"/>
        <rFont val="Calibri"/>
        <family val="2"/>
        <charset val="1"/>
      </rPr>
      <t xml:space="preserve"> Situationen in denen GI-Spastik vermieden werden muss (</t>
    </r>
    <r>
      <rPr>
        <sz val="11"/>
        <color rgb="FF37761D"/>
        <rFont val="Calibri"/>
        <family val="2"/>
        <charset val="1"/>
      </rPr>
      <t>akute Pankreatitis, Lebererkrankung, Diverticulitis, Colitis ulcerosa, paralytischer Ileus)</t>
    </r>
  </si>
  <si>
    <r>
      <rPr>
        <sz val="11"/>
        <color rgb="FF000000"/>
        <rFont val="Calibri"/>
        <family val="2"/>
        <charset val="1"/>
      </rPr>
      <t xml:space="preserve">kein BtM
Partialagonist, Wiederaufnahmehemmung von Noradrenalin und Serotonin, Opioidwirkung durch O-Desmethyl-Metabolit (CYP2D6), </t>
    </r>
    <r>
      <rPr>
        <sz val="11"/>
        <color rgb="FF37761D"/>
        <rFont val="Calibri"/>
        <family val="2"/>
        <charset val="1"/>
      </rPr>
      <t xml:space="preserve">nach Tilidin/Naloxon am häufigsten verwendetes Opioid, 60 % der Verordnungen in Tropfenform; </t>
    </r>
    <r>
      <rPr>
        <sz val="11"/>
        <color rgb="FF000000"/>
        <rFont val="Calibri"/>
        <family val="2"/>
        <charset val="1"/>
      </rPr>
      <t>am stärksten wirksamer Wirkstoff ohne BtMV, jedoch deutlich schwächer als Morphin (ca. ein Zehntel der Morphinwirkung), Tramadol: POB 60-70 %, HWZ ca. 6 h, Ø Atemdepression, Abususpotential gering; nach I.v.-Applikation → Übelkeit, Erbrechen häufig, Senkung der Krampfschwelle</t>
    </r>
  </si>
  <si>
    <t>Paracetamol</t>
  </si>
  <si>
    <t>P-Aminophenole NSAID Schmerz Unbekannt</t>
  </si>
  <si>
    <t>P-Aminophenole</t>
  </si>
  <si>
    <t>WM: Es wird eine zentrale und periphere Hemmung von Cyclooxygenasen (COX) angenommen. Nachgewiesen ist eine ausgeprägte Hemmung der cerebralen Prostaglandinsynthese, während die periphere Prostaglandinsynthese nur schwach gehemmt wird.
W: analgetisch, antipyretisch, aber nicht antiphlogistisch</t>
  </si>
  <si>
    <t>https://www.gelbe-liste.de/wirkstoffe/Paracetamol_298#Wirkmechanismus</t>
  </si>
  <si>
    <t>Kopfschmerzen, postoperative und postpartale Schmerzen, Zahnschmerzen, Fieber, formal → Tumorschmerzen (jedoch I. d. R. weniger geeignet → zu schwach wirksam)</t>
  </si>
  <si>
    <t>Allergische Hautveränderungen (gelegentlich) oder Überempfindlichkeit (sehr selten); Thrombozyto-, Leukozytopenie, Agranulozytose (Einzelfälle), Leberfunktionsstörungen (Einzelfälle)</t>
  </si>
  <si>
    <t>Glukose-6-phosphatdehydrogenasemangel; schwere Nieren- und Leberfunktionsstörungen</t>
  </si>
  <si>
    <r>
      <rPr>
        <sz val="11"/>
        <color rgb="FF000000"/>
        <rFont val="Calibri"/>
        <family val="2"/>
        <charset val="1"/>
      </rPr>
      <t xml:space="preserve">Paracetamol ist ein Prodrug (wirksamer Metabolit AM 404); </t>
    </r>
    <r>
      <rPr>
        <sz val="11"/>
        <color rgb="FF37761D"/>
        <rFont val="Calibri"/>
        <family val="2"/>
        <charset val="1"/>
      </rPr>
      <t xml:space="preserve">Wechselwirkungen: Orale Antikoagulantien (Thrombinzeit </t>
    </r>
    <r>
      <rPr>
        <sz val="10"/>
        <color rgb="FF37761D"/>
        <rFont val="CIDFont+F1"/>
        <charset val="128"/>
      </rPr>
      <t xml:space="preserve">↑), Enzyminduktoren (Barbiturate, Antiepileptika, Rifampicin, EtOH) → verstärkte Leberschädigung, → Metabolismus via CYP450 zu hepatotoxischen, reaktiven Paracetamol-Metaboliten; </t>
    </r>
    <r>
      <rPr>
        <sz val="10"/>
        <color rgb="FF000000"/>
        <rFont val="CIDFont+F1"/>
        <charset val="128"/>
      </rPr>
      <t>Antidot bei Intoxikation: Fluimucil (Acetylcystein)</t>
    </r>
  </si>
  <si>
    <t>Antipyretische_Analgetika.jpg</t>
  </si>
  <si>
    <t>Mutschler Arzneimittelwirkungen, 11. Auflage, S. 271, Tab. 15.4</t>
  </si>
  <si>
    <t>Metamizol</t>
  </si>
  <si>
    <t>Pyrazolone Schmerz Unbekannt</t>
  </si>
  <si>
    <t>Pyrazolone</t>
  </si>
  <si>
    <r>
      <rPr>
        <sz val="11"/>
        <color rgb="FF000000"/>
        <rFont val="Calibri"/>
        <family val="2"/>
        <charset val="1"/>
      </rPr>
      <t xml:space="preserve">WM: Sehr schwacher Cyclooxygenasehemmer
W: analgetisch, antipyretisch, </t>
    </r>
    <r>
      <rPr>
        <sz val="10"/>
        <color rgb="FF000000"/>
        <rFont val="CIDFont+F1"/>
        <charset val="128"/>
      </rPr>
      <t>Ø klinisch relevante antiphologistische Wirkung, aber spasmolytisch; zuverlässige Wirkung bei Steinkoliken; wäre sicherer wenn nicht durch kritiklose Anwendung Sensibilisierung gegen Pyrazolonanalgetika gesteigert würde</t>
    </r>
  </si>
  <si>
    <t>akute starke Schmerzen (viszeral), wenn andere therapeutische Maßnahmen unzureichend oder kontraindiziert sind, Koliken (Galle, ableitende Harnwege), Fieber, das auf andere Maßnahmen nicht anspricht; Anwendung in der Schmerztherapie üblicherweise liberaler</t>
  </si>
  <si>
    <r>
      <rPr>
        <sz val="11"/>
        <color rgb="FF000000"/>
        <rFont val="Calibri"/>
        <family val="2"/>
        <charset val="1"/>
      </rPr>
      <t xml:space="preserve">RR </t>
    </r>
    <r>
      <rPr>
        <sz val="10"/>
        <color rgb="FF000000"/>
        <rFont val="CIDFont+F1"/>
        <charset val="128"/>
      </rPr>
      <t>↓ (v.a. nach I.v. Applikation, gelegentlich, kann lebensbedrohlich sein! → neuerliche Warnung der AkdÄ), Anaphylaktische Schockreaktionen (oral: 1:50 000, I.v.: 1:5 000). Gefahr der Sensibilisierung, Leukepenie (selten), Agranulozytosen (sehr selten, ca. 1:1 000 000) → Ind eingeschränkt, Rezeptpflicht
2020 Roter-Hand-Brief: Warnung vor Leberschaden (z. b. akutes Leberversagen). Häufigkeit und Pathomechanismus nicht bekannt. Bei Symptomen, die auf Leberschädigung schließen lassen → Absetzen und Leberfunktionskontrolle. Bei Leberschaden unklarer Ursache unter Metamizoltherapie Metamizol nicht wieder anwenden</t>
    </r>
  </si>
  <si>
    <t>Pyrazolallergie, hepatische Porphyrie, Glukose-6-Phosphatdehydrogenasemangel, CAVE: Hypotonie, Granulozytopenie</t>
  </si>
  <si>
    <t>keine retardierten Zubereitungsformen → 4-6-stündliche Applikation notwendig</t>
  </si>
  <si>
    <t xml:space="preserve">Pilocarpin </t>
  </si>
  <si>
    <r>
      <rPr>
        <sz val="11"/>
        <color rgb="FF000000"/>
        <rFont val="Calibri"/>
        <family val="2"/>
        <charset val="1"/>
      </rPr>
      <t>Direkte Parasympathomimetika Muskarinische M</t>
    </r>
    <r>
      <rPr>
        <vertAlign val="subscript"/>
        <sz val="11"/>
        <color rgb="FF000000"/>
        <rFont val="Calibri"/>
        <family val="2"/>
        <charset val="1"/>
      </rPr>
      <t>X</t>
    </r>
    <r>
      <rPr>
        <sz val="11"/>
        <color rgb="FF000000"/>
        <rFont val="Calibri"/>
        <family val="2"/>
        <charset val="1"/>
      </rPr>
      <t>-Acetylcholinrezeptor-Agonisten (M</t>
    </r>
    <r>
      <rPr>
        <vertAlign val="subscript"/>
        <sz val="11"/>
        <color rgb="FF000000"/>
        <rFont val="Calibri"/>
        <family val="2"/>
        <charset val="1"/>
      </rPr>
      <t>X</t>
    </r>
    <r>
      <rPr>
        <sz val="11"/>
        <color rgb="FF000000"/>
        <rFont val="Calibri"/>
        <family val="2"/>
        <charset val="1"/>
      </rPr>
      <t>R-Agonisten) Cholinerges System Xerostomie Sjögren-Syndrom Augenheilkunde</t>
    </r>
  </si>
  <si>
    <r>
      <rPr>
        <sz val="11"/>
        <color rgb="FF000000"/>
        <rFont val="Calibri"/>
        <family val="2"/>
        <charset val="1"/>
      </rPr>
      <t>Muskarinische M</t>
    </r>
    <r>
      <rPr>
        <vertAlign val="subscript"/>
        <sz val="11"/>
        <color rgb="FF000000"/>
        <rFont val="Calibri"/>
        <family val="2"/>
        <charset val="1"/>
      </rPr>
      <t>X</t>
    </r>
    <r>
      <rPr>
        <sz val="11"/>
        <color rgb="FF000000"/>
        <rFont val="Calibri"/>
        <family val="2"/>
        <charset val="1"/>
      </rPr>
      <t>-Acetylcholinrezeptor-Agonisten (M</t>
    </r>
    <r>
      <rPr>
        <vertAlign val="subscript"/>
        <sz val="11"/>
        <color rgb="FF000000"/>
        <rFont val="Calibri"/>
        <family val="2"/>
        <charset val="1"/>
      </rPr>
      <t>X</t>
    </r>
    <r>
      <rPr>
        <sz val="11"/>
        <color rgb="FF000000"/>
        <rFont val="Calibri"/>
        <family val="2"/>
        <charset val="1"/>
      </rPr>
      <t>R-Agonisten)</t>
    </r>
  </si>
  <si>
    <t>WM: Bindung an den Muskarinrezeptor, direkt parasympathomimetisch
W: steigert die Sekretion exokriner Drüsen (Schweiß-, Speichel-, Tränen-, Bauchspeichel-, Darmdrüsen); topische Anwendung am Auge: Erweiterung der Kammerwasser-ableitenden Wege und dadurch Augeninnendrucksenkung, Aktivierung des Musculus sphincter pupillae und dadurch Pupillenverengung (Miotikum)</t>
  </si>
  <si>
    <t>https://www.gelbe-liste.de/wirkstoffe/Pilocarpin_18</t>
  </si>
  <si>
    <t>chronisches Weit- oder Engwinkelglaukom, akuter Glaukomanfall, Umkehrung der Pupillenweitstellung nach operativen und diagnostischen Eingriffen; systemische Gabe: Xerostomie nach Strahlentherapie, Sjögren-Syndrom</t>
  </si>
  <si>
    <t>vorübergehende Sehstörungen (Myopie), gesteigerte Tränensekretion, Augenrötung, Ziliarmuskelspasmen mit Augen- und Kopfschmerzen, Gefahr von Netzhauteinrissen oder -ablösung</t>
  </si>
  <si>
    <t>Mutschler Arzneimittelwirkungen, 11. Auflage, S. 971</t>
  </si>
  <si>
    <t>linsenbedingte Sekundärglaukome, akute Iritis, Hornhautverletzungen</t>
  </si>
  <si>
    <t>In der Forschung wird Pilocarpin verwendet, um epileptische Anfälle zu induzieren. Des weiteren wird der Pilocarpin-Iontophorese-Schweißtest zur Diagnosestellung der Mukoviszidose verwendet.</t>
  </si>
  <si>
    <t xml:space="preserve">Atropin </t>
  </si>
  <si>
    <r>
      <rPr>
        <sz val="11"/>
        <color rgb="FF000000"/>
        <rFont val="Calibri"/>
        <family val="2"/>
        <charset val="1"/>
      </rPr>
      <t>Parasympatholytika Muskarinische M</t>
    </r>
    <r>
      <rPr>
        <vertAlign val="subscript"/>
        <sz val="11"/>
        <color rgb="FF000000"/>
        <rFont val="Calibri"/>
        <family val="2"/>
        <charset val="1"/>
      </rPr>
      <t>X</t>
    </r>
    <r>
      <rPr>
        <sz val="11"/>
        <color rgb="FF000000"/>
        <rFont val="Calibri"/>
        <family val="2"/>
        <charset val="1"/>
      </rPr>
      <t>-Acetylcholinrezeptor-Antagonisten (M</t>
    </r>
    <r>
      <rPr>
        <vertAlign val="subscript"/>
        <sz val="11"/>
        <color rgb="FF000000"/>
        <rFont val="Calibri"/>
        <family val="2"/>
        <charset val="1"/>
      </rPr>
      <t>X</t>
    </r>
    <r>
      <rPr>
        <sz val="11"/>
        <color rgb="FF000000"/>
        <rFont val="Calibri"/>
        <family val="2"/>
        <charset val="1"/>
      </rPr>
      <t>R-Antagonisten) Cholinerges System Kardiovaskuläre Erkrankungen Herzrhythmusstörung Q9 Augenheilkunde</t>
    </r>
  </si>
  <si>
    <r>
      <rPr>
        <sz val="11"/>
        <color rgb="FF000000"/>
        <rFont val="Calibri"/>
        <family val="2"/>
        <charset val="1"/>
      </rPr>
      <t xml:space="preserve">WM: kompetitive Hemmung der Acetylcholinrezeptor-Bindungsstellen an den muskarinergen Rezeptoren
W: parasympatholytisch (anticholinerg) </t>
    </r>
    <r>
      <rPr>
        <sz val="11"/>
        <color rgb="FF37761D"/>
        <rFont val="Calibri"/>
        <family val="2"/>
        <charset val="1"/>
      </rPr>
      <t>auf verschiedene Organsysteme: Herz: positiv chronotrop und bathmodrop, Lunge: Bronchodilatation, Darm: Verminderung von Peristaltik und Sekretion, glatte Muskulatur: Relaxation, Auge: Mydriasis und Akkomodationshemmung, Schweißdrüsen: Hemmung der Schweißbildung, Speicheldrüsen: verminderte Speichelproduktion</t>
    </r>
  </si>
  <si>
    <t>https://flexikon.doccheck.com/de/Atropin</t>
  </si>
  <si>
    <t xml:space="preserve">Einsatz überwiegend in der Notfallmedizin bei bradykarden Herzrhythumusstörungen sowie im Rahmen der Ophtalmoskopie/ Augenheilkunde zur Erzeugung einer medikamentösen Mydriasis; Antidot bei Mescalin- und Alkylphosphatvergifungen  </t>
  </si>
  <si>
    <t>https://www.gelbe-liste.de/wirkstoffe/Atropin_63</t>
  </si>
  <si>
    <t>Bei Atropinvergiftung/Überdosierung kommt es zum anticholinergen Syndrom mit Fieber, Mundtrockenheit, Tachykardie, Harnverhalt, Obstipation, Mydriasis, Hautrötungen, Delir, Verwirrtheit, ggf. mit Halluzinationen</t>
  </si>
  <si>
    <t>https://flexikon.doccheck.com/de/Atropin?utm_source=www.doccheck.flexikon&amp;utm_medium=web&amp;utm_campaign=DC%2BSearch#</t>
  </si>
  <si>
    <r>
      <rPr>
        <sz val="11"/>
        <color rgb="FF000000"/>
        <rFont val="Calibri"/>
        <family val="2"/>
        <charset val="1"/>
      </rPr>
      <t xml:space="preserve">Säuglinge und Kleinkinder bis drei Monate, primäre Glaukomformen, Engwinkelglaukom, Rhinitis sicca
</t>
    </r>
    <r>
      <rPr>
        <sz val="11"/>
        <color rgb="FF37761D"/>
        <rFont val="Calibri"/>
        <family val="2"/>
        <charset val="1"/>
      </rPr>
      <t xml:space="preserve">
Besondere Vorsicht bei:
Mechanische Stenose des Magen-Darm-Traktes, paralytischer Ileus, Myasthenia gravis, Hyperthyreose, akutes Lungenödem, Schwangerschaftstoxikose, obstruktive Harnwegserkrankungen wie Prostataadenome mit Restharnbildung, Tachykardien, Herzinsuffizienzen und Koronarstenosen, Thyreotoxikose, Megacolon, Schwangerschaft und Stillzeit</t>
    </r>
  </si>
  <si>
    <r>
      <rPr>
        <sz val="11"/>
        <rFont val="Calibri"/>
        <family val="2"/>
        <charset val="1"/>
      </rPr>
      <t xml:space="preserve">Atropin kommt natürlich in verschiedenen Pflanzenteilen einiger </t>
    </r>
    <r>
      <rPr>
        <sz val="11"/>
        <color rgb="FF0000FF"/>
        <rFont val="Calibri"/>
        <family val="2"/>
        <charset val="1"/>
      </rPr>
      <t>Nachtschattengewächse</t>
    </r>
    <r>
      <rPr>
        <sz val="11"/>
        <rFont val="Calibri"/>
        <family val="2"/>
        <charset val="1"/>
      </rPr>
      <t xml:space="preserve"> wie </t>
    </r>
    <r>
      <rPr>
        <sz val="11"/>
        <color rgb="FF0000FF"/>
        <rFont val="Calibri"/>
        <family val="2"/>
        <charset val="1"/>
      </rPr>
      <t>Alraune</t>
    </r>
    <r>
      <rPr>
        <sz val="11"/>
        <rFont val="Calibri"/>
        <family val="2"/>
        <charset val="1"/>
      </rPr>
      <t xml:space="preserve">, </t>
    </r>
    <r>
      <rPr>
        <sz val="11"/>
        <color rgb="FF0000FF"/>
        <rFont val="Calibri"/>
        <family val="2"/>
        <charset val="1"/>
      </rPr>
      <t>Engelstrompete</t>
    </r>
    <r>
      <rPr>
        <sz val="11"/>
        <rFont val="Calibri"/>
        <family val="2"/>
        <charset val="1"/>
      </rPr>
      <t xml:space="preserve">, </t>
    </r>
    <r>
      <rPr>
        <sz val="11"/>
        <color rgb="FF0000FF"/>
        <rFont val="Calibri"/>
        <family val="2"/>
        <charset val="1"/>
      </rPr>
      <t>Stechapfel</t>
    </r>
    <r>
      <rPr>
        <sz val="11"/>
        <rFont val="Calibri"/>
        <family val="2"/>
        <charset val="1"/>
      </rPr>
      <t xml:space="preserve">, </t>
    </r>
    <r>
      <rPr>
        <sz val="11"/>
        <color rgb="FF0000FF"/>
        <rFont val="Calibri"/>
        <family val="2"/>
        <charset val="1"/>
      </rPr>
      <t>Tollkirsche</t>
    </r>
    <r>
      <rPr>
        <sz val="11"/>
        <rFont val="Calibri"/>
        <family val="2"/>
        <charset val="1"/>
      </rPr>
      <t xml:space="preserve"> oder </t>
    </r>
    <r>
      <rPr>
        <sz val="11"/>
        <color rgb="FF0000FF"/>
        <rFont val="Calibri"/>
        <family val="2"/>
        <charset val="1"/>
      </rPr>
      <t>Bilsenkraut</t>
    </r>
    <r>
      <rPr>
        <sz val="11"/>
        <rFont val="Calibri"/>
        <family val="2"/>
        <charset val="1"/>
      </rPr>
      <t xml:space="preserve"> vor. </t>
    </r>
  </si>
  <si>
    <t>DocCheck Flexikon</t>
  </si>
  <si>
    <t>https://www.pharmawiki.ch/wiki/index.php?wiki=atropin</t>
  </si>
  <si>
    <t>Acetazolamid</t>
  </si>
  <si>
    <t>Wasser- und Elektrolythaushalt Carboanhydrase-Inhibitoren (CAH-Inhibitoren) Augenheilkunde akutes Glaukom</t>
  </si>
  <si>
    <t>Carboanhydrase-Inhibitoren (CAH-Inhibitoren)</t>
  </si>
  <si>
    <r>
      <rPr>
        <sz val="11"/>
        <color rgb="FF000000"/>
        <rFont val="Calibri"/>
        <family val="2"/>
        <charset val="1"/>
      </rPr>
      <t>WM: Hemmung des Enzyms Carboanhydrase, hemmt als Diuretikum die Bikarbonatresporption
W: Blutdrucksenkung &amp; Hirndrucksenkung durch vermehrte Wasserausscheidung, Augeninnendrucksenkung durch verringerte Produktion von Kammerwasser;</t>
    </r>
    <r>
      <rPr>
        <sz val="11"/>
        <color rgb="FF37761D"/>
        <rFont val="Calibri"/>
        <family val="2"/>
        <charset val="1"/>
      </rPr>
      <t xml:space="preserve"> bei systemischer Gabe erhöhte renale Ausscheidung von Mineralien, insbesondere Kalium (vermehrte Zufuhr bei Dauergabe)</t>
    </r>
  </si>
  <si>
    <t>https://flexikon.doccheck.com/de/Acetazolamid?utm_source=www.doccheck.flexikon&amp;utm_medium=web&amp;utm_campaign=DC%2BSearch</t>
  </si>
  <si>
    <t>akutes Glaukom, Morbus Menière, Pankreatitis, Pankreasfisteln, Höhenkrankheit (zur Prophylaxe und zur Therapie), idiopathische intrakranielle Hypertension, Epilepsie, Ödeme, Ateminsuffizienz mit respiratorischer Azidose</t>
  </si>
  <si>
    <r>
      <rPr>
        <sz val="11"/>
        <color rgb="FF000000"/>
        <rFont val="Calibri"/>
        <family val="2"/>
        <charset val="1"/>
      </rPr>
      <t xml:space="preserve">Müdigkeit, Schwindel, Kopfschmerzen, Magen-Darm-Beschwerden
</t>
    </r>
    <r>
      <rPr>
        <sz val="11"/>
        <color rgb="FF37761D"/>
        <rFont val="Calibri"/>
        <family val="2"/>
        <charset val="1"/>
      </rPr>
      <t xml:space="preserve">
Bei Gabe in die Vene sind Blutdruckabfall, Schwindel, Tinnitus, Übelkeit und Missempfindungen um den Mund häufig</t>
    </r>
  </si>
  <si>
    <t>https://www.gelbe-liste.de/wirkstoffe/Acetazolamid_64</t>
  </si>
  <si>
    <t>Schwangere und stillende Frauen, Gicht oder erhöhter Chloridspiegel, komplett geschlossener Kammerwinkel</t>
  </si>
  <si>
    <t xml:space="preserve">Brinzolamid </t>
  </si>
  <si>
    <t>Wasser- und Elektrolythaushalt Carboanhydrase-Inhibitoren (CAH-Inhibitoren) Augenheilkunde okuläre Hypertension</t>
  </si>
  <si>
    <t>WM: Hemmung des Enzyms Carboanhydrase-II
W: Senkung des Augeninnendrucks durch Reduktion der Kammerwasserbildung</t>
  </si>
  <si>
    <t>https://www.pharmawiki.ch/wiki/index.php?wiki=brinzolamid</t>
  </si>
  <si>
    <t>erhöhter Augeninnendruck (okuläre Hypertension, Offenwinkelglaukom)</t>
  </si>
  <si>
    <t>lokale Reaktionen am Auge, gelangt nach Anwendung am Auge auch in den Blutkreislauf → systemische Nebenwirkungen: Geschmacksstörungen, Kopfschmerzen und Mundtrockenheit</t>
  </si>
  <si>
    <t>Schwere Nierenfunktionsstörung, Hyperchlorämische Azidose</t>
  </si>
  <si>
    <t>Mannitol</t>
  </si>
  <si>
    <t>Diuretika Augenheilkunde Adjuvantien Wasser- und Elektolythaushalt Wasserbindende Arzneistoffe Prophylaxe akutes Nierenversagen</t>
  </si>
  <si>
    <t xml:space="preserve">Wasser- und Elektolythaushalt </t>
  </si>
  <si>
    <t>Durch seine osmotische Wirkung zieht Mannit Wasser aus dem Intrazellularraum in den Extrazellularraum Mannit wird im menschlichen Organismus nicht verstoffwechselt und unverändert über die Nierenkörperchen filtriert, ohne dass es im weiteren Verlauf des Nierenkanälchens zurück resorbiert wird. Dadurch wird Wasser im frisch gebildeten Harn (Primärharn) osmotisch zurückgehalten, welches normalerweise rückresorbiert worden wäre.
W:
 Die Wasserausscheidung wird erhöht</t>
  </si>
  <si>
    <t xml:space="preserve">Prophylaxe eines akuten Nierenversagens prärenaler Ursache (wie Blut-/Flüssigkeitsverlust bei OPs, Trauma, Schock), beschleunigte Diurese bei Vergiftungen, Senkung von Augeninnendruck, Senkung von Hirndruck bei intakter Blut-Hirn-Schranke </t>
  </si>
  <si>
    <t>Dosisabhängige Verschiebungen im Elektrolyt- und Wasserhaushalt</t>
  </si>
  <si>
    <t>Persistierende Oligurie unter Therapie, akute kardiale Dekompensation, Störung der Blut-Hirn-Schranke, Lungenödem, Hyper-/Dehydratation, postrenale Abflussstörung, Hyperosmolarität, intrakranielle Blutung</t>
  </si>
  <si>
    <t xml:space="preserve">Mannit findet als Zuckeraustauschstoff (Zusatzstoffnummer E 421) Verwendung. Bezogen auf Saccharose hat eine 10%ige Lösung eine Süßkraft von 50–69 %. Mannit wird ferner als pharmazeutischer Hilfsstoff (u. a. zur Tablettenherstellung) und als Arzneistoff in der Pharmaindustrie verwendet. Er wird auch als Verschnittstoff für Heroin und andere Drogen benutzt. </t>
  </si>
  <si>
    <t xml:space="preserve">Ranibizumab </t>
  </si>
  <si>
    <t>Augenheilkunde Makuladegeneration Wachstumsfaktoren VEGF- Inhibitoren</t>
  </si>
  <si>
    <t>Humanisierter monoklonaler Antikörper gegen den VEGF-A-Rezeptor → verhindert durch seine Bindung die Endothelzellproliferation und die Neovaskularisation (Angiogenese)</t>
  </si>
  <si>
    <t xml:space="preserve">Intravitreale Injektion in den Glaskörper zur Hemmung der Neovaskularisation bei Makulopathie (exsudative/feuchte Makuladegeneration, diabetisches Makulaödem) </t>
  </si>
  <si>
    <t>sehr häufig: Erkrankungen des Auges (u.a. erhöhter Augeninnendruck, Glaskörperentzündung, Glaskörperablösung, Netzhautblutung, Sehstörungen), Kopfschmerzen, erhöhter Blutdruck</t>
  </si>
  <si>
    <t xml:space="preserve">Periokulare Infektionen oder Entzündungen </t>
  </si>
  <si>
    <t>Ranibizumab wird nach örtlicher Betäubung durch Injektion direkt in den Glaskörper des Auges verabreicht. Wiederholung der Injektion monatlich</t>
  </si>
  <si>
    <t>Latanoprost</t>
  </si>
  <si>
    <t>Prostaglandin-F-Rezeptor-Agonisten Auge             Augeninnendruck Glaukom Eicosanoidsystem Prostaglandin-F-Rezeptor-Agonisten (FPR-Agonisten)</t>
  </si>
  <si>
    <t>Prostaglandin-F-Rezeptor-Agonisten (FPR-Agonisten)</t>
  </si>
  <si>
    <t>WM: Als Analogon des Prostaglandins F2α wirkt aktiviertes (Latanoprost ist ein Prodrug) Latanoprost selektiv als prostanoider Prostaglandin-F-Rezeptor (FP-Rezeptor)-Agonist
W: Steigerung des Kammerwasserabflusses, was in einer Senkung des intraokulären Drucks resultiert</t>
  </si>
  <si>
    <t>https://www.gelbe-liste.de/wirkstoffe/Latanoprost_26889#Wirkmechanismus</t>
  </si>
  <si>
    <t>Patienten mit Offenwinkelglaukom, Erwachsene mit okulärer Hypertension, Kinder mit erhöhtem intraokulärem Druck und kindlichem Glaukom</t>
  </si>
  <si>
    <t>https://www.gelbe-liste.de/wirkstoffe/Latanoprost_26889#Anwendung</t>
  </si>
  <si>
    <t>Irispigmentierung, Bindehauthyperämie, Augenreizung, Veränderungen der Wimpern, Photophobie, Konjunktivitis, (punktförmige) Keratitis, Blepharitis, Schmerzen im Auge</t>
  </si>
  <si>
    <t>https://www.gelbe-liste.de/wirkstoffe/Latanoprost_26889#Nebenwirkungen</t>
  </si>
  <si>
    <t>Überempfindlichkeit gegen den Wirkstoff oder andere Bestandteile des Arnzeimittels</t>
  </si>
  <si>
    <t>https://www.gelbe-liste.de/wirkstoffe/Latanoprost_26889#Kontraindikationen</t>
  </si>
  <si>
    <t>Topische Applikation am Auge; SS/SZ: kontraindiziert, da systemische Wirkung nach topischer Applikation am Auge prinzipiell möglich. Daher werden besser erprobte Alternativen empfohlen.</t>
  </si>
  <si>
    <t>https://www.gelbe-liste.de/wirkstoffe/Latanoprost_26889#Schwangerschaft
https://www.gelbe-liste.de/wirkstoffe/Latanoprost_26889#Stillzeit</t>
  </si>
  <si>
    <t xml:space="preserve">Tamsulosin </t>
  </si>
  <si>
    <r>
      <rPr>
        <sz val="11"/>
        <color rgb="FF000000"/>
        <rFont val="Calibri"/>
        <family val="2"/>
        <charset val="1"/>
      </rPr>
      <t>Adrenerges System ɑ</t>
    </r>
    <r>
      <rPr>
        <vertAlign val="subscript"/>
        <sz val="11"/>
        <color rgb="FF000000"/>
        <rFont val="Calibri"/>
        <family val="2"/>
        <charset val="1"/>
      </rPr>
      <t>1</t>
    </r>
    <r>
      <rPr>
        <sz val="11"/>
        <color rgb="FF000000"/>
        <rFont val="Calibri"/>
        <family val="2"/>
        <charset val="1"/>
      </rPr>
      <t>-Adrenozeptor-Antagonisten (ɑ</t>
    </r>
    <r>
      <rPr>
        <vertAlign val="subscript"/>
        <sz val="11"/>
        <color rgb="FF000000"/>
        <rFont val="Calibri"/>
        <family val="2"/>
        <charset val="1"/>
      </rPr>
      <t>1</t>
    </r>
    <r>
      <rPr>
        <sz val="11"/>
        <color rgb="FF000000"/>
        <rFont val="Calibri"/>
        <family val="2"/>
        <charset val="1"/>
      </rPr>
      <t>AR-Antagonisten) Alphablocker Prostatahyperplasie Q9</t>
    </r>
  </si>
  <si>
    <r>
      <rPr>
        <sz val="11"/>
        <color rgb="FF000000"/>
        <rFont val="Calibri"/>
        <family val="2"/>
        <charset val="1"/>
      </rPr>
      <t>ɑ</t>
    </r>
    <r>
      <rPr>
        <vertAlign val="subscript"/>
        <sz val="11"/>
        <color rgb="FF000000"/>
        <rFont val="Calibri"/>
        <family val="2"/>
        <charset val="1"/>
      </rPr>
      <t>1</t>
    </r>
    <r>
      <rPr>
        <sz val="11"/>
        <color rgb="FF000000"/>
        <rFont val="Calibri"/>
        <family val="2"/>
        <charset val="1"/>
      </rPr>
      <t>-Adrenozeptor-Antagonisten (ɑ</t>
    </r>
    <r>
      <rPr>
        <vertAlign val="subscript"/>
        <sz val="11"/>
        <color rgb="FF000000"/>
        <rFont val="Calibri"/>
        <family val="2"/>
        <charset val="1"/>
      </rPr>
      <t>1</t>
    </r>
    <r>
      <rPr>
        <sz val="11"/>
        <color rgb="FF000000"/>
        <rFont val="Calibri"/>
        <family val="2"/>
        <charset val="1"/>
      </rPr>
      <t>AR-Antagonisten)</t>
    </r>
  </si>
  <si>
    <r>
      <rPr>
        <sz val="11"/>
        <color rgb="FF000000"/>
        <rFont val="Calibri"/>
        <family val="2"/>
        <charset val="1"/>
      </rPr>
      <t>WM: Tamsulosin blockiert ɑ</t>
    </r>
    <r>
      <rPr>
        <vertAlign val="subscript"/>
        <sz val="11"/>
        <color rgb="FF000000"/>
        <rFont val="Calibri"/>
        <family val="2"/>
        <charset val="1"/>
      </rPr>
      <t>1</t>
    </r>
    <r>
      <rPr>
        <sz val="11"/>
        <color rgb="FF000000"/>
        <rFont val="Calibri"/>
        <family val="2"/>
        <charset val="1"/>
      </rPr>
      <t xml:space="preserve">-Adrenozeptoren für aktivierende Signale. </t>
    </r>
    <r>
      <rPr>
        <sz val="11"/>
        <color rgb="FF37761D"/>
        <rFont val="Calibri"/>
        <family val="2"/>
        <charset val="1"/>
      </rPr>
      <t>Es bindet selektiv und kompetitiv an postsynaptische ɑ</t>
    </r>
    <r>
      <rPr>
        <vertAlign val="subscript"/>
        <sz val="11"/>
        <color rgb="FF37761D"/>
        <rFont val="Calibri"/>
        <family val="2"/>
        <charset val="1"/>
      </rPr>
      <t>1</t>
    </r>
    <r>
      <rPr>
        <sz val="11"/>
        <color rgb="FF37761D"/>
        <rFont val="Calibri"/>
        <family val="2"/>
        <charset val="1"/>
      </rPr>
      <t>-Adrenozeptoren, insbesondere an die Subtypen ɑ</t>
    </r>
    <r>
      <rPr>
        <vertAlign val="subscript"/>
        <sz val="11"/>
        <color rgb="FF37761D"/>
        <rFont val="Calibri"/>
        <family val="2"/>
        <charset val="1"/>
      </rPr>
      <t>1</t>
    </r>
    <r>
      <rPr>
        <sz val="11"/>
        <color rgb="FF37761D"/>
        <rFont val="Calibri"/>
        <family val="2"/>
        <charset val="1"/>
      </rPr>
      <t>A und ɑ</t>
    </r>
    <r>
      <rPr>
        <vertAlign val="subscript"/>
        <sz val="11"/>
        <color rgb="FF37761D"/>
        <rFont val="Calibri"/>
        <family val="2"/>
        <charset val="1"/>
      </rPr>
      <t>1</t>
    </r>
    <r>
      <rPr>
        <sz val="11"/>
        <color rgb="FF37761D"/>
        <rFont val="Calibri"/>
        <family val="2"/>
        <charset val="1"/>
      </rPr>
      <t xml:space="preserve">D.
</t>
    </r>
    <r>
      <rPr>
        <sz val="11"/>
        <color rgb="FF000000"/>
        <rFont val="Calibri"/>
        <family val="2"/>
        <charset val="1"/>
      </rPr>
      <t xml:space="preserve">
W: Relaxation der glatten Muskulatur der Harnwege und der Prostata. Damit geht verbesserter Harnabfluss einher und obstruktive Symptome werden gelindert. Zudem lindert es irritative Symptome, die bei einer Blaseninstabilität von großer Bedeutung sind.</t>
    </r>
  </si>
  <si>
    <t>https://www.gelbe-liste.de/wirkstoffe/Tamsulosin_22541</t>
  </si>
  <si>
    <t>Benigne Prostatahyperplasie</t>
  </si>
  <si>
    <r>
      <rPr>
        <sz val="11"/>
        <color rgb="FF000000"/>
        <rFont val="Calibri"/>
        <family val="2"/>
        <charset val="1"/>
      </rPr>
      <t xml:space="preserve">Häufig: Schwindel, Ejakulationsstörungen einschließlich retrograde Ejakulation sowie verringerte oder ausbleibende Ejakulation
</t>
    </r>
    <r>
      <rPr>
        <sz val="11"/>
        <color rgb="FF37761D"/>
        <rFont val="Calibri"/>
        <family val="2"/>
        <charset val="1"/>
      </rPr>
      <t>Gelegentlich: Kopfschmerzen, Palpitationen, orthostatische Hypotonie, Rhinitis, Obstipation, Diarrhö, Übelkeit, Erbrechen, Hautausschlag, Pruritus, Urtikaria, Asthenie
Selten: Synkope, Angioödem
Sehr selten: Stevens-Johnson-Syndrom, Priapismus</t>
    </r>
  </si>
  <si>
    <t>Bekannte orthostatische Hypotonie, schwere Leberinsuffizienz</t>
  </si>
  <si>
    <t>Der Wirkstoff hat im Vergleich zu anderen Alphablockerin wie Doxazosin und Alfuzosin nur selten einen Effekt auf den Blutdruck.</t>
  </si>
  <si>
    <t xml:space="preserve">Testosteron </t>
  </si>
  <si>
    <t>Sexualhormone Androgenrezeptor-Agonisten (AR-Agonisten) Androgene Hypogonadismus bei Männern</t>
  </si>
  <si>
    <t>Androgenrezeptor-Agonisten (AR-Agonisten)</t>
  </si>
  <si>
    <t>WM: Bindung an intrazelluläre Androgenrezeptoren
W: anabole und androgene Eigenschaften; Ausprägung und Aufrechterhaltung der männlichen Geschlechtsorgane und -merkmale. Testosteron hat zahlreiche Funktionen im Körper und wirkt unter anderem auf die Haut, Muskeln, Skelett, Knochenmark, Leber, Nieren und das ZNS. Es ist auch für die Libido und die Bildung der Spermien und für die Fruchtbarkeit erforderlich.</t>
  </si>
  <si>
    <t>https://www.pharmawiki.ch/wiki/index.php?wiki=testosteron</t>
  </si>
  <si>
    <t>Hypogonadismus bei Männern (Hormonersatztherapie, TRT = Testosterone Replacement Therapy), Pubertätsinduktion bei Pubertas tarda bei Knaben (verspätet einsetzende Pubertät)</t>
  </si>
  <si>
    <r>
      <rPr>
        <sz val="11"/>
        <color rgb="FF000000"/>
        <rFont val="Calibri"/>
        <family val="2"/>
        <charset val="1"/>
      </rPr>
      <t xml:space="preserve">Akne, Brustschmerzen, Muskelschmerzen, erhöhte Anzahl an Erythrozyten, erhöhter Hämoglobin und Hämatokrit, Prostatavergrößerung, Hitzewallungen, Gewichtszunahmen, reduzierte Fruchtbarkeit durch Unterdrückung der Spermatogenese; </t>
    </r>
    <r>
      <rPr>
        <sz val="11"/>
        <color rgb="FF37761D"/>
        <rFont val="Calibri"/>
        <family val="2"/>
        <charset val="1"/>
      </rPr>
      <t>bei Verwendung synthetischer Testosterone/hohen Dosierungen sind schwerwiegende kardiovaskuläre, psychische u.a. Nebenwirkungen möglich</t>
    </r>
  </si>
  <si>
    <t>Behandlung von Frauen, Schwangerschaft, Prostatakrebs, Brustkrebs, Lebertumore in der Patientengeschichte, Hyperkalziämie bei einem malignen Tumor</t>
  </si>
  <si>
    <t>Dopingmittel im Bodybuilding und Ausdauersport, ernsthafte und u.U. dauerhafte urologische Probleme möglich</t>
  </si>
  <si>
    <t>Testosteron.png</t>
  </si>
  <si>
    <t>Estradiol</t>
  </si>
  <si>
    <t>Sexualhormone Estrogenrezeptor-Agonisten (ER-Agonisten) Estrogene Hormonersatztherapie bei Östrogenmangel</t>
  </si>
  <si>
    <t>Estrogenrezeptor-Agonisten (ER-Agonisten)</t>
  </si>
  <si>
    <r>
      <rPr>
        <sz val="11"/>
        <color rgb="FF000000"/>
        <rFont val="Calibri"/>
        <family val="2"/>
        <charset val="1"/>
      </rPr>
      <t xml:space="preserve">WM: Bindung an intrazelluläre Östrogen-Rezeptoren
W: wirkt vorwiegend auf Geschlechtsorgane, beeinflusst aber auch andere Organe                                   </t>
    </r>
    <r>
      <rPr>
        <sz val="11"/>
        <color rgb="FF37761D"/>
        <rFont val="Calibri"/>
        <family val="2"/>
        <charset val="1"/>
      </rPr>
      <t xml:space="preserve"> Durch den Einsatz von Estradiol als „Pille“ zur Kontrazeption wird die Ausschüttung von FSH unterdrückt und damit die Ovulation verhindert</t>
    </r>
  </si>
  <si>
    <t>https://www.pharmawiki.ch/wiki/index.php?wiki=Oestrogene https://www.netdoktor.de/medikamente/estradiol/</t>
  </si>
  <si>
    <t>Behandlung des Östrogenmangels für eine Hormonersatztherapie, gegen Wechseljahrbeschwerden, bei einer vaginalen Atrophie und in Kombination mit einem Gestagen für die Empfängnisverhütung</t>
  </si>
  <si>
    <t>https://www.pharmawiki.ch/wiki/index.php?wiki=Oestrogene</t>
  </si>
  <si>
    <t>Vaginale Blutungen, Bauchschmerzen, Übelkeit, Brustspannen, Brustvergrößerung, Brustschmerzen, Depressionen, Gewichtszunahmen, Kopfschmerzen, Schwindel, Krämpfe in den Beinen, Ödeme
Sehr selten: Ovarialkarzinom, Lebertumore, schwere kardiovaskuläre Erkrankungen, insbesondere bei einer längerfristigen Therapie</t>
  </si>
  <si>
    <t>https://www.pharmawiki.ch/wiki/index.php?wiki=estradiol</t>
  </si>
  <si>
    <t>Brustkrebs, östrogenabhängige Neubildungen und Gebärmutterkrebs, nicht abgeklärte Vaginalblutungen, schwere Lebererkrankungen, thromboembolische Erkrankungen, Gerinnungsstörungen, Thrombophlebitis, Porphyrie, Schwangerschaft und Stillzeit</t>
  </si>
  <si>
    <r>
      <rPr>
        <sz val="11"/>
        <color rgb="FF000000"/>
        <rFont val="Calibri"/>
        <family val="2"/>
        <charset val="1"/>
      </rPr>
      <t xml:space="preserve">Zur Verhütung wird wesentlich häufiger das verwandthe Ethinylestradiol eingesetzt (meist kombiniert mit einem Gestagen)                          </t>
    </r>
    <r>
      <rPr>
        <sz val="11"/>
        <color rgb="FF37761D"/>
        <rFont val="Calibri"/>
        <family val="2"/>
        <charset val="1"/>
      </rPr>
      <t>Nicht verwechseln mit 17-alpha-Estradiol, das gleich aufgebaut ist, aber dreidimensional anders geformt ist; letzteres wird lokal auf der Kopfhaut bei Haarausfall (durch Dihydrotestosteron) eingesetzt. Hemmt die Produktion von Dihydrotestosteron</t>
    </r>
  </si>
  <si>
    <t>Östrogene.png</t>
  </si>
  <si>
    <t>Ethinylestradiol</t>
  </si>
  <si>
    <t>Sexualhormone Estrogenrezeptor-Agonisten (ER-Agonisten) Estrogene Empfängnisverhütung</t>
  </si>
  <si>
    <t>WM: Bindung an intrazelluläre Östrogen-Rezeptoren
W: empfängnisverhütend (Hemmung des Eisprungs, Verhinderung der Einnistung des Eis in die Gebärmutterschleimhaut und Veränderung des Zervixsekrets) und östrogen</t>
  </si>
  <si>
    <t>https://www.pharmawiki.ch/wiki/index.php?wiki=ethinylestradiol</t>
  </si>
  <si>
    <t>Empfängnisverhütung (in Kombination mit einem Gestagen)</t>
  </si>
  <si>
    <t>Brustschmerzen, Gewichtszunahme, Hautausschläge, Kopfschmerzen, veränderte Stimmung, Verdauungsstörungen, Übelkeit</t>
  </si>
  <si>
    <t>bestehende oder vorausgegangene venöse oder arterielle Thrombose, bekannte Prädisposition für venöse oder arterielle Thrombosen wie APC-Resistenz, thrombogene Valvulopathie oder thrombogene Herzrhythmusstörungen, bestehende oder vorausgegangene zerebrovaskuläre Erkrankung, Raucherinnen, nicht kontrollierte Hypertonie, Diabetes mellitus mit Gefäßveränderungen, Migräne mit fokalen neurologischen Symptomen, bestehende oder vorausgegangene Lebererkrankungen oder Lebertumoren, bekannte oder vermutete sexualhormonabhängige, maligne Tumoren</t>
  </si>
  <si>
    <t>https://www.gelbe-liste.de/wirkstoffe/Ethinylestradiol_2846#Kontraindikationen</t>
  </si>
  <si>
    <t>Sildenafil</t>
  </si>
  <si>
    <t>Zyklische Nukleotide Phophodiesterase-5-Inhibitoren (PDE5-Inhibitoren)Erektionsstörungen Q9</t>
  </si>
  <si>
    <t>Zyklische Nukleotide</t>
  </si>
  <si>
    <t>Phophodiesterase-5-Inhibitoren (PDE5-Inhibitoren)</t>
  </si>
  <si>
    <t>WM: Hemmung des Enzyms Phosphodiesterase-5. Dadurch wird weniger zyklisches Guanin-Monophosphat (cGMP) abgebaut. CGMP ist nötig, um die glatte Muskulatur der Blutgefäße im Penis zu entspannen. In Folge werden die Gefäße indirekt erweitert und dadurch kann Blut leichter in den Schwellkörper des Penis fließen und eine Erektion ermöglichen.</t>
  </si>
  <si>
    <t>https://www.gelbe-liste.de/wirkstoffe/Sildenafil_27420</t>
  </si>
  <si>
    <t>Erektionsstörungen wie erektile Dysfunktion, pulmonale und pulmonal-arterielle Hypertonie</t>
  </si>
  <si>
    <r>
      <rPr>
        <sz val="11"/>
        <color rgb="FF000000"/>
        <rFont val="Calibri"/>
        <family val="2"/>
        <charset val="1"/>
      </rPr>
      <t xml:space="preserve">Sehr häufig: Kopfschmerzen
Häufig: Schwindel, Veränderungen des Farbsehens und Sehstörungen, Flush, Hitzewallung, verstopfte Nase, Übelkeit, Dyspepsie
</t>
    </r>
    <r>
      <rPr>
        <sz val="11"/>
        <color rgb="FF37761D"/>
        <rFont val="Calibri"/>
        <family val="2"/>
        <charset val="1"/>
      </rPr>
      <t>Gelegentlich: Schläfrigkeit, Taubheitsgefühl, Augenschmerzen, Photophobie, Photopsie, okuläre Hyperämie, Tachykardie, Bluthochdruck, gastroösophageale Refluxerkrankung
Selten: Schlaganfall, transitorische ischämische Attacke, Krampfanfall, retinaler Gefäßverschluss, Synkope, Glaukom, plötzlicher Herztod, Herzinfarkt, Vorhofflimmern, instabile Angina pectoris</t>
    </r>
  </si>
  <si>
    <r>
      <rPr>
        <sz val="11"/>
        <color rgb="FF000000"/>
        <rFont val="Calibri"/>
        <family val="2"/>
        <charset val="1"/>
      </rPr>
      <t>Gleichzeitige Anwendung von Nitraten (verstärkter blutdrucksenkender Effekt), Guanylatcyclase-Stimulatoren wie Riociguat (symptomatische Hypotonie), schwere Herz-Kreislauf-Erkrankungen, S</t>
    </r>
    <r>
      <rPr>
        <sz val="11"/>
        <color rgb="FF37761D"/>
        <rFont val="Calibri"/>
        <family val="2"/>
        <charset val="1"/>
      </rPr>
      <t>ehverlust aufgrund von nicht arteriitischer anteriorer ischämischer Optikusneuropathie, schwere Leberinsuffizienz,</t>
    </r>
    <r>
      <rPr>
        <sz val="11"/>
        <color rgb="FF000000"/>
        <rFont val="Calibri"/>
        <family val="2"/>
        <charset val="1"/>
      </rPr>
      <t xml:space="preserve"> Hypotonie, </t>
    </r>
    <r>
      <rPr>
        <sz val="11"/>
        <color rgb="FF37761D"/>
        <rFont val="Calibri"/>
        <family val="2"/>
        <charset val="1"/>
      </rPr>
      <t>vor kurzem erlittener Schlaganfall oder Herzinfarkt, erblich bedingte degenerative Retinaerkrankungen wie Retinitis pigmentosa</t>
    </r>
  </si>
  <si>
    <t xml:space="preserve">Große Bekanntheit erlangte er als Wirkstoff des 1998 von dem US-amerikanischen Unternehmen Pfizer unter dem Namen Viagra auf den Markt gebrachten Arzneimittels zur Behandlung der erektilen Dysfunktion (Erektionsstörung) beim Mann. Diese Wirkung wurde zufällig im Rahmen der Entwicklung von Sildenafil als Mittel zur Behandlung von Bluthochdruck und Angina pectoris entdeckt. Inzwischen sind in Deutschland von verschiedenen Anbietern insgesamt mehr als 100 Präparate mit dem Wirkstoff Sildenafil zur Behandlung der erektilen Dysfunktion im Handel. </t>
  </si>
  <si>
    <t>Sildenafil.jpg</t>
  </si>
  <si>
    <t>Finasterid</t>
  </si>
  <si>
    <t>Sexualhormone 5ɑ-Reduktase-Inhibitoren Antiandrogene Haarausfall Prostatahyperplasie Q9</t>
  </si>
  <si>
    <t>5ɑ-Reduktase-Inhibitoren</t>
  </si>
  <si>
    <t>WM: Finasterid ist ein kompetitiver Inhibitor der intrazellulären Typ II 5ɑ-Reduktase. Dadurch wird weniger Testosteron in das stärker wirksame Androgen Dihydrotestosteron (DHT) umgewandelt. Die normale Funktion und das Wachstum der Prostata sind abhängig von der Umwandlung von Testosteron zu DHT.
W: Rückgang des Volumens der vergrößerten Prostata, lindert erblichen Haarausfall</t>
  </si>
  <si>
    <t>https://www.gelbe-liste.de/wirkstoffe/Finasterid_21381
https://www.pharmawiki.ch/wiki/index.php?wiki=finasterid</t>
  </si>
  <si>
    <t>Haarausfall bei Männern, Behandlung der gutartigen Prostatavergrößerung (Prostatahyperplasie)</t>
  </si>
  <si>
    <t>https://www.pharmawiki.ch/wiki/index.php?wiki=finasterid</t>
  </si>
  <si>
    <t>Häufig: verminderte Libido, Impotenz, vermindertes Ejakulatvolumen</t>
  </si>
  <si>
    <t>https://www.gelbe-liste.de/wirkstoffe/Finasterid_21381</t>
  </si>
  <si>
    <t>Schwangerschaft</t>
  </si>
  <si>
    <t>Cyproteron </t>
  </si>
  <si>
    <t>Sexualhormone Androgenrezeptor-Antagonisten (AR-Antagonisten) Antiandrogene Tumortherapeutika Prostatakarzinom</t>
  </si>
  <si>
    <t>Androgenrezeptor-Antagonisten (AR-Antagonisten)</t>
  </si>
  <si>
    <t>WM: kompetitiver Antagonismus an Androgenrezeptoren
W: Unterdrückung der Libido und Spermiogenese</t>
  </si>
  <si>
    <t>Mutschler Arzneimittelwirkungen, 11. Auflage, S.722</t>
  </si>
  <si>
    <t>Prostatakarzinom, abnormale oder krankhafte Sexualität bei Männern, initiale Abmilderung des Flare-Phänomens unter Therapie mit GnRH-Agonisten, ausgeprägter Hirsutismus bzw. Androgenetische Alopezie bei Frauen und schwere Akne vulgaris (bei Versagen einer systemischen Antibiotikatherapie)</t>
  </si>
  <si>
    <t>Mutschler Arzneimittelwirkungen, 11. Auflage, S.723</t>
  </si>
  <si>
    <t>Bei Frauen
Häufig (10 mg Dosis): Zwischenblutungen, Gewichtszunahme, depressive Verstimmung
Als schwerwiegendste Nebenwirkungen wurden gutartige und bösartige Lebertumoren registriert. Bei Dosierungen von ab 25 mg wurden multiple Meningeome beobachtet. 
Bei Männern
Anämie, Antriebshemmung, Gynäkomastie</t>
  </si>
  <si>
    <t>Lebererkrankung, bestehende oder vorausgegangene Meningeome, thromboembolische Erkankungen, schwere Depression</t>
  </si>
  <si>
    <t>Flutamid</t>
  </si>
  <si>
    <t>WM: kompetitiver Antagonismus an Androgenrezeptoren  
W: Unterdrückung der testikulären und adrenalen Androgenaktivität</t>
  </si>
  <si>
    <t>Mutschler Arzneimittelwirkungen, 11. Auflage, S.905
https://www.pharmawiki.ch/wiki/index.php?wiki=flutamid</t>
  </si>
  <si>
    <t>Fortgeschrittenes Prostatakarzinom</t>
  </si>
  <si>
    <t>https://www.pharmawiki.ch/wiki/index.php?wiki=flutamid</t>
  </si>
  <si>
    <t>Zu den häufigsten UAW gehören Gynäkomastie, Brustschmerzen, Galaktorrhoe, kleinknotige Veränderungen des Brustdrüsenkörpers. Flutamid ist  hepatotoxisch und kann eine Hepatitis verursachen. In Einzelfällen wurde über Leberschädigung mit letalem Ausgang berichtet.</t>
  </si>
  <si>
    <t>Eingeschränkte Leber- oder Nierenfunktion</t>
  </si>
  <si>
    <t>Anastrozol</t>
  </si>
  <si>
    <t>Sexualhormone Aromatase-Inhibitoren Antiestrogene Tumortherapeutika Mammakarzinom Q9</t>
  </si>
  <si>
    <t>Aromatase-Inhibitoren</t>
  </si>
  <si>
    <t>WM: Anastrozol ist ein Wirkstoff aus der Gruppe der nicht-steroidalen Aromatasehemmer. Aromatase ist ein Enzym, das wesentlich an der Produktion von Östrogenen beteiligt ist. Östrogene wiederum fördern das Wachstum und die Metastasenbildung von östrogenabhängigen Tumoren wie Brustkrebs.
W: antiöstrogen, antiproliferativ</t>
  </si>
  <si>
    <r>
      <rPr>
        <sz val="10"/>
        <color rgb="FF0000FF"/>
        <rFont val="Arial"/>
        <charset val="1"/>
      </rPr>
      <t xml:space="preserve">https://www.gelbe-liste.de/wirkstoffe/Anastrozol_25618
</t>
    </r>
    <r>
      <rPr>
        <sz val="10"/>
        <rFont val="Arial"/>
        <charset val="1"/>
      </rPr>
      <t xml:space="preserve">
</t>
    </r>
    <r>
      <rPr>
        <sz val="10"/>
        <color rgb="FF0000FF"/>
        <rFont val="Arial"/>
        <charset val="1"/>
      </rPr>
      <t>https://www.pharmawiki.ch/wiki/index.php?wiki=anastrozol</t>
    </r>
  </si>
  <si>
    <t>hormonabhängiger Brustkrebs von Frauen in und nach den Wechseljahren</t>
  </si>
  <si>
    <t>https://www.gelbe-liste.de/wirkstoffe/Anastrozol_25618</t>
  </si>
  <si>
    <t>Die Nebenwirkungen sind größtenteils eine Folge der reduzierten Östrogenspiegel und ähneln Wechseljahrsbeschwerden. Die häufigsten UAW sind:
Hitzewallungen, Kopfschmerzen, Muskelschmerzen, Gelenkschmerzen, Frakturen, Gelenksteifheit, Arthritis, Stimmungsschwankungen, Müdigkeit, Hautausschlag</t>
  </si>
  <si>
    <t>https://www.pharmawiki.ch/wiki/index.php?wiki=anastrozol</t>
  </si>
  <si>
    <t>Schwangerschaft, Stillzeit</t>
  </si>
  <si>
    <t>Anastrozol kann als Dopingmittel und für das Bodybuilding missbraucht werden. Es ist während und außerhalb sportlicher Wettkämpfe verboten.</t>
  </si>
  <si>
    <t>Clomifen </t>
  </si>
  <si>
    <t>Sexualhormone Estrogenrezeptor-Agonisten (ER-Agonisten) Antiestrogene Infertilität</t>
  </si>
  <si>
    <t xml:space="preserve">WM: nicht vollständig geklärt. Vermutet wird, dass durch Besetzung der Östrogenrezeptoren der Negativrückkopplungsmechanismus auf die Hypophyse aufgehoben wird und es zu einer vermehrten Freisetzung von Gonadotropinen kommt
W: Fördert Follikelreifung und löst den Eisprung aus </t>
  </si>
  <si>
    <r>
      <rPr>
        <sz val="10"/>
        <color rgb="FF0000FF"/>
        <rFont val="Arial"/>
        <charset val="1"/>
      </rPr>
      <t xml:space="preserve">https://www.gelbe-liste.de/wirkstoffe/Clomifen_2050
</t>
    </r>
    <r>
      <rPr>
        <sz val="10"/>
        <rFont val="Arial"/>
        <charset val="1"/>
      </rPr>
      <t xml:space="preserve">
</t>
    </r>
    <r>
      <rPr>
        <sz val="10"/>
        <color rgb="FF0000FF"/>
        <rFont val="Arial"/>
        <charset val="1"/>
      </rPr>
      <t>https://www.pharmawiki.ch/wiki/index.php?wiki=+clomifen</t>
    </r>
  </si>
  <si>
    <t>Unerfüllter Kinderwunsch, Auslösung des Eisprungs bei Frauen mit Sterilität infolge ausbleibender Ovulation, z. B. beim polyzystischen Ovarialsyndrom, Follikelreifungsstörung mit Lutealphaseninsuffizienz</t>
  </si>
  <si>
    <t>https://www.pharmawiki.ch/wiki/index.php?wiki=+clomifen</t>
  </si>
  <si>
    <t xml:space="preserve">Hitzewallungen, Appetitlosigkeit, Kopfschmerzen, Sehstörungen, Spannungsgefühl in den Brüsten
In seltenen Fällen wurden zystische Veränderungen der Keimdrüsen beobachtet. </t>
  </si>
  <si>
    <t>Mutschler Arzneimittelwirkungen, 11. Auflage, S.731</t>
  </si>
  <si>
    <t>Schwangerschaft, schwere Lebererkrankungen, ungeklärte Uterusblutungen</t>
  </si>
  <si>
    <t xml:space="preserve">Es kommt vermehrt zu Mehrlingsschwangerschaften </t>
  </si>
  <si>
    <t>Levonorgestrel </t>
  </si>
  <si>
    <t>Sexualhormone Progesteronrezeptor-Agonisten (PR-Agonisten) Gestagene</t>
  </si>
  <si>
    <t>Progesteronrezeptor-Agonisten (PR-Agonisten)</t>
  </si>
  <si>
    <t>WM: Lenovorgestrel ist ein synthetisches Gestagen, das als Monotherapeutikum vor allem über peripher vermittelte Gestagen-Effekte (Zervikalschleim, Tuben, Endometrium, Spermienaszension) eine Konzeption verhindert
W: hemmt die Reifung der Eizelle, hemmt den Eisprung, erschwert Nidation</t>
  </si>
  <si>
    <t>https://www.gelbe-liste.de/wirkstoffe/Levonorgestrel_2834
https://flexikon.doccheck.com/de/Levonorgestrel?utm_source=www.doccheck.flexikon&amp;utm_medium=web&amp;utm_campaign=DC%2BSearch</t>
  </si>
  <si>
    <t>Je nach Dosierung zur Kontrazeption oder als „Pille danach“ (Notfallkontrazeption), Hormonsubstitutionstherapie</t>
  </si>
  <si>
    <t>https://www.gelbe-liste.de/wirkstoffe/Levonorgestrel_2834</t>
  </si>
  <si>
    <t>Stark abhängig von der Applikationsform und Dosierung
Kontinuierliche Therapien zur Hormonersatztherapie oder zur oralen Kontrazeption können folgende UAW verursachen:
Schmierblutungen, unregelmäßige Blutungen, Amenorrhoe, depressive Verstimmungen, Kopfschmerzen, Übelkeit und Schwindel, Akne, Gewichtszunahme, venöse Thromboembolien</t>
  </si>
  <si>
    <t>bekannte oder vermutete Schwangerschaft, bestehende venöse thromboembolische oder arterielle und kardiovaskuläre Erkrankungen oder bestehende Risikofaktoren solcher Erkrankungen, Diabetes mellitus mit Gefäßveränderungen, schwere Lebererkrankungen sowie benigne und maligne Lebertumore, hormonabhängige maligne Erkrankungen der Genitalorgane, diagnostisch nicht abgeklärte vaginale Blutungen, Amenorrhöe unbekannter Ursache</t>
  </si>
  <si>
    <t>in Kombination mit einem Estrogenpräparat als Antibabypille, in Monotherapie als „Mini-Pille“ eingesetzt</t>
  </si>
  <si>
    <t>Mifepriston </t>
  </si>
  <si>
    <t>Sexualhormone Progesteronrezeptor-Antagonisten (PR-Agonisten) Antigestagene</t>
  </si>
  <si>
    <t>Progesteronrezeptor-Antagonisten (PR-Agonisten)</t>
  </si>
  <si>
    <t>WM: kompetitiver Antagonismus des Schwangerschaftshormons Progesteron an den Progesteron-Rezeptoren
W: antigestagen, antiglucocorticoid und leicht antiandrogen</t>
  </si>
  <si>
    <t>https://www.pharmawiki.ch/wiki/index.php?wiki=mifepriston</t>
  </si>
  <si>
    <t>Abbruch einer intrauterinen Schwangerschaft in sequentieller Anwendung mit einem Prostaglandin-Analogon bis zu einer Amenorrhoedauer von 49 Tagen</t>
  </si>
  <si>
    <t>Vaginale Blutungen, Uteruskontraktionen, Krämpfe, Infektionen, Durchfall, Übelkeit und Erbrechen</t>
  </si>
  <si>
    <t>Chronische Nebennierenrindeninsuffizienz, schweres nicht kontrollierbares Asthma, vererbte Porphyrie, Schwangerschaft die nicht durch eine Ultraschalluntersuchung bestätigt wurde, Schwangerschaftsdauer über 49 Tage, Verdacht auf extrauterine Schwangerschaft, Kontraindikationen des angewendeten Prostaglandins</t>
  </si>
  <si>
    <t>https://www.gelbe-liste.de/wirkstoffe/Mifepriston_41300</t>
  </si>
  <si>
    <t>mifepriston.jpg</t>
  </si>
  <si>
    <t>Zeit für Erstellung gesamt</t>
  </si>
  <si>
    <t>Zeit für Durchsicht gesamt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</si>
</sst>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0"/>
      <name val="Arial"/>
      <charset val="1"/>
    </font>
    <font>
      <b/>
      <strike/>
      <sz val="11"/>
      <color rgb="FF000000"/>
      <name val="Calibri"/>
      <family val="2"/>
      <charset val="1"/>
    </font>
    <font>
      <b/>
      <sz val="11"/>
      <color rgb="FF000000"/>
      <name val="Calibri"/>
      <family val="2"/>
      <charset val="1"/>
    </font>
    <font>
      <sz val="11"/>
      <color rgb="FF000000"/>
      <name val="Calibri"/>
      <family val="2"/>
      <charset val="1"/>
    </font>
    <font>
      <vertAlign val="subscript"/>
      <sz val="11"/>
      <color rgb="FF000000"/>
      <name val="Calibri"/>
      <family val="2"/>
      <charset val="1"/>
    </font>
    <font>
      <sz val="11"/>
      <color rgb="FF01FD55"/>
      <name val="Calibri"/>
      <family val="2"/>
      <charset val="1"/>
    </font>
    <font>
      <strike/>
      <sz val="11"/>
      <color rgb="FF000000"/>
      <name val="Calibri"/>
      <family val="2"/>
      <charset val="1"/>
    </font>
    <font>
      <sz val="11"/>
      <color rgb="FFFF011B"/>
      <name val="Calibri"/>
      <family val="2"/>
      <charset val="1"/>
    </font>
    <font>
      <vertAlign val="superscript"/>
      <sz val="11"/>
      <color rgb="FF000000"/>
      <name val="Calibri"/>
      <family val="2"/>
      <charset val="1"/>
    </font>
    <font>
      <strike/>
      <sz val="11"/>
      <color rgb="FF01FD55"/>
      <name val="Calibri"/>
      <family val="2"/>
      <charset val="1"/>
    </font>
    <font>
      <sz val="11"/>
      <color rgb="FF37761D"/>
      <name val="Calibri"/>
      <family val="2"/>
      <charset val="1"/>
    </font>
    <font>
      <sz val="10"/>
      <color rgb="FF000000"/>
      <name val="Calibri"/>
      <family val="2"/>
      <charset val="1"/>
    </font>
    <font>
      <sz val="11"/>
      <color rgb="FF70AD47"/>
      <name val="Calibri"/>
      <charset val="1"/>
    </font>
    <font>
      <sz val="11"/>
      <name val="Calibri"/>
      <charset val="1"/>
    </font>
    <font>
      <sz val="11"/>
      <color rgb="FFA9D18E"/>
      <name val="Calibri"/>
      <charset val="1"/>
    </font>
    <font>
      <sz val="11"/>
      <color rgb="FF548235"/>
      <name val="Calibri"/>
      <charset val="1"/>
    </font>
    <font>
      <sz val="11"/>
      <color rgb="FF000000"/>
      <name val="Calibri"/>
      <charset val="1"/>
    </font>
    <font>
      <sz val="11"/>
      <color rgb="FF00B050"/>
      <name val="Calibri"/>
      <family val="2"/>
      <charset val="1"/>
    </font>
    <font>
      <sz val="10"/>
      <color rgb="FF006C31"/>
      <name val="Calibri"/>
      <family val="2"/>
      <charset val="1"/>
    </font>
    <font>
      <sz val="10"/>
      <name val="Calibri"/>
      <family val="2"/>
      <charset val="1"/>
    </font>
    <font>
      <sz val="11"/>
      <color rgb="FF006C31"/>
      <name val="Calibri"/>
      <family val="2"/>
      <charset val="1"/>
    </font>
    <font>
      <sz val="9"/>
      <color rgb="FF000000"/>
      <name val="Calibri"/>
      <charset val="1"/>
    </font>
    <font>
      <sz val="9"/>
      <color rgb="FF37761D"/>
      <name val="Calibri"/>
      <charset val="1"/>
    </font>
    <font>
      <sz val="11"/>
      <color rgb="FF385724"/>
      <name val="Calibri"/>
      <charset val="1"/>
    </font>
    <font>
      <sz val="11"/>
      <color rgb="FF6AA84F"/>
      <name val="Calibri"/>
      <family val="2"/>
      <charset val="1"/>
    </font>
    <font>
      <sz val="11"/>
      <name val="Calibri"/>
      <family val="2"/>
      <charset val="1"/>
    </font>
    <font>
      <sz val="10"/>
      <color rgb="FF37761D"/>
      <name val="Arial"/>
      <charset val="1"/>
    </font>
    <font>
      <sz val="10"/>
      <color rgb="FF6AA84F"/>
      <name val="Arial"/>
      <charset val="1"/>
    </font>
    <font>
      <sz val="10"/>
      <color rgb="FF000000"/>
      <name val="CIDFont+F4"/>
      <charset val="136"/>
    </font>
    <font>
      <sz val="10"/>
      <color rgb="FF000000"/>
      <name val="CIDFont+F4"/>
      <charset val="1"/>
    </font>
    <font>
      <sz val="10"/>
      <color rgb="FF0000FF"/>
      <name val="Arial"/>
      <charset val="1"/>
    </font>
    <font>
      <sz val="10"/>
      <color rgb="FF000000"/>
      <name val="CIDFont+F1"/>
      <charset val="128"/>
    </font>
    <font>
      <sz val="10"/>
      <color rgb="FF37761D"/>
      <name val="CIDFont+F1"/>
      <charset val="1"/>
    </font>
    <font>
      <vertAlign val="superscript"/>
      <sz val="11"/>
      <color rgb="FF37761D"/>
      <name val="Calibri"/>
      <family val="2"/>
      <charset val="1"/>
    </font>
    <font>
      <sz val="10"/>
      <color rgb="FF37761D"/>
      <name val="CIDFont+F1"/>
      <charset val="128"/>
    </font>
    <font>
      <sz val="11"/>
      <color rgb="FF0000FF"/>
      <name val="Calibri"/>
      <family val="2"/>
      <charset val="1"/>
    </font>
    <font>
      <vertAlign val="subscript"/>
      <sz val="11"/>
      <color rgb="FF37761D"/>
      <name val="Calibri"/>
      <family val="2"/>
      <charset val="1"/>
    </font>
    <font>
      <sz val="10"/>
      <name val="Arial"/>
      <charset val="1"/>
    </font>
  </fonts>
  <fills count="2">
    <fill>
      <patternFill patternType="none"/>
    </fill>
    <fill>
      <patternFill patternType="gray125"/>
    </fill>
  </fills>
  <borders count="18">
    <border>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hair">
        <color auto="1"/>
      </left>
      <right style="hair">
        <color auto="1"/>
      </right>
      <top style="hair">
        <color auto="1"/>
      </top>
      <bottom style="hair">
        <color auto="1"/>
      </bottom>
      <diagonal/>
    </border>
    <border>
      <left style="medium">
        <color auto="1"/>
      </left>
      <right style="thin">
        <color auto="1"/>
      </right>
      <top style="medium">
        <color auto="1"/>
      </top>
      <bottom/>
      <diagonal/>
    </border>
    <border>
      <left style="hair">
        <color auto="1"/>
      </left>
      <right/>
      <top style="hair">
        <color auto="1"/>
      </top>
      <bottom style="hair">
        <color auto="1"/>
      </bottom>
      <diagonal/>
    </border>
    <border>
      <left style="hair">
        <color auto="1"/>
      </left>
      <right style="hair">
        <color auto="1"/>
      </right>
      <top style="hair">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bottom/>
      <diagonal/>
    </border>
    <border>
      <left/>
      <right/>
      <top/>
      <bottom style="medium">
        <color auto="1"/>
      </bottom>
      <diagonal/>
    </border>
  </borders>
  <cellStyleXfs count="2">
    <xf numFmtId="0" fontId="0" fillId="0" borderId="0"/>
    <xf numFmtId="0" fontId="37" fillId="0" borderId="0" applyBorder="0" applyProtection="0"/>
  </cellStyleXfs>
  <cellXfs count="80">
    <xf numFmtId="0" fontId="0" fillId="0" borderId="0" xfId="0"/>
    <xf numFmtId="0" fontId="2" fillId="0" borderId="2" xfId="1" applyFont="1" applyBorder="1" applyAlignment="1" applyProtection="1">
      <alignment horizontal="center" vertical="top" wrapText="1"/>
    </xf>
    <xf numFmtId="0" fontId="2" fillId="0" borderId="17" xfId="1" applyFont="1" applyBorder="1" applyAlignment="1" applyProtection="1">
      <alignment horizontal="center" vertical="top" wrapText="1"/>
    </xf>
    <xf numFmtId="0" fontId="2" fillId="0" borderId="0" xfId="1" applyFont="1" applyBorder="1" applyAlignment="1" applyProtection="1">
      <alignment horizontal="center" vertical="top" wrapText="1"/>
    </xf>
    <xf numFmtId="0" fontId="1" fillId="0" borderId="0" xfId="1" applyFont="1" applyBorder="1" applyAlignment="1" applyProtection="1">
      <alignment horizontal="center" vertical="top" wrapText="1"/>
    </xf>
    <xf numFmtId="0" fontId="37" fillId="0" borderId="0" xfId="1" applyBorder="1" applyAlignment="1" applyProtection="1">
      <alignment vertical="top" wrapText="1"/>
    </xf>
    <xf numFmtId="0" fontId="2" fillId="0" borderId="0" xfId="1" applyFont="1" applyBorder="1" applyAlignment="1" applyProtection="1">
      <alignment horizontal="center" vertical="top" wrapText="1"/>
    </xf>
    <xf numFmtId="0" fontId="3" fillId="0" borderId="0" xfId="1" applyFont="1" applyBorder="1" applyAlignment="1" applyProtection="1">
      <alignment vertical="top" wrapText="1"/>
    </xf>
    <xf numFmtId="0" fontId="5" fillId="0" borderId="0" xfId="1" applyFont="1" applyBorder="1" applyAlignment="1" applyProtection="1">
      <alignment vertical="top" wrapText="1"/>
    </xf>
    <xf numFmtId="0" fontId="3" fillId="0" borderId="0" xfId="1" applyFont="1" applyBorder="1" applyAlignment="1" applyProtection="1">
      <alignment wrapText="1"/>
    </xf>
    <xf numFmtId="0" fontId="37" fillId="0" borderId="0" xfId="1" applyBorder="1" applyProtection="1"/>
    <xf numFmtId="0" fontId="2" fillId="0" borderId="0" xfId="1" applyFont="1" applyBorder="1" applyAlignment="1" applyProtection="1">
      <alignment vertical="top" wrapText="1"/>
    </xf>
    <xf numFmtId="0" fontId="3" fillId="0" borderId="1" xfId="1" applyFont="1" applyBorder="1" applyAlignment="1" applyProtection="1">
      <alignment vertical="top" wrapText="1"/>
    </xf>
    <xf numFmtId="0" fontId="3" fillId="0" borderId="2" xfId="1" applyFont="1" applyBorder="1" applyAlignment="1" applyProtection="1">
      <alignment vertical="top" wrapText="1"/>
    </xf>
    <xf numFmtId="0" fontId="3" fillId="0" borderId="3" xfId="1" applyFont="1" applyBorder="1" applyAlignment="1" applyProtection="1">
      <alignment vertical="top" wrapText="1"/>
    </xf>
    <xf numFmtId="0" fontId="11" fillId="0" borderId="2" xfId="1" applyFont="1" applyBorder="1" applyAlignment="1" applyProtection="1">
      <alignment vertical="top" wrapText="1"/>
    </xf>
    <xf numFmtId="0" fontId="3" fillId="0" borderId="4" xfId="1" applyFont="1" applyBorder="1" applyAlignment="1" applyProtection="1">
      <alignment vertical="top" wrapText="1"/>
    </xf>
    <xf numFmtId="0" fontId="12" fillId="0" borderId="2" xfId="1" applyFont="1" applyBorder="1" applyAlignment="1" applyProtection="1">
      <alignment vertical="top" wrapText="1"/>
    </xf>
    <xf numFmtId="0" fontId="3" fillId="0" borderId="5" xfId="1" applyFont="1" applyBorder="1" applyAlignment="1" applyProtection="1">
      <alignment vertical="top" wrapText="1"/>
    </xf>
    <xf numFmtId="0" fontId="3" fillId="0" borderId="6" xfId="1" applyFont="1" applyBorder="1" applyAlignment="1" applyProtection="1">
      <alignment vertical="top" wrapText="1"/>
    </xf>
    <xf numFmtId="0" fontId="10" fillId="0" borderId="6" xfId="1" applyFont="1" applyBorder="1" applyAlignment="1" applyProtection="1">
      <alignment vertical="top" wrapText="1"/>
    </xf>
    <xf numFmtId="0" fontId="3" fillId="0" borderId="7" xfId="1" applyFont="1" applyBorder="1" applyAlignment="1" applyProtection="1">
      <alignment vertical="top" wrapText="1"/>
    </xf>
    <xf numFmtId="0" fontId="17" fillId="0" borderId="0" xfId="1" applyFont="1" applyBorder="1" applyAlignment="1" applyProtection="1">
      <alignment vertical="top" wrapText="1"/>
    </xf>
    <xf numFmtId="0" fontId="3" fillId="0" borderId="8" xfId="1" applyFont="1" applyBorder="1" applyAlignment="1" applyProtection="1">
      <alignment vertical="top" wrapText="1"/>
    </xf>
    <xf numFmtId="0" fontId="18" fillId="0" borderId="3" xfId="1" applyFont="1" applyBorder="1" applyAlignment="1" applyProtection="1">
      <alignment vertical="top" wrapText="1"/>
    </xf>
    <xf numFmtId="0" fontId="11" fillId="0" borderId="3" xfId="1" applyFont="1" applyBorder="1" applyAlignment="1" applyProtection="1">
      <alignment vertical="top" wrapText="1"/>
    </xf>
    <xf numFmtId="0" fontId="2" fillId="0" borderId="3" xfId="1" applyFont="1" applyBorder="1" applyAlignment="1" applyProtection="1">
      <alignment vertical="top" wrapText="1"/>
    </xf>
    <xf numFmtId="0" fontId="3" fillId="0" borderId="9" xfId="1" applyFont="1" applyBorder="1" applyAlignment="1" applyProtection="1">
      <alignment vertical="top" wrapText="1"/>
    </xf>
    <xf numFmtId="0" fontId="3" fillId="0" borderId="1" xfId="1" applyFont="1" applyBorder="1" applyAlignment="1" applyProtection="1">
      <alignment vertical="top"/>
    </xf>
    <xf numFmtId="0" fontId="3" fillId="0" borderId="2" xfId="1" applyFont="1" applyBorder="1" applyAlignment="1" applyProtection="1">
      <alignment vertical="top"/>
    </xf>
    <xf numFmtId="0" fontId="10" fillId="0" borderId="2" xfId="1" applyFont="1" applyBorder="1" applyAlignment="1" applyProtection="1">
      <alignment vertical="top" wrapText="1"/>
    </xf>
    <xf numFmtId="0" fontId="10" fillId="0" borderId="0" xfId="1" applyFont="1" applyBorder="1" applyAlignment="1" applyProtection="1">
      <alignment vertical="top" wrapText="1"/>
    </xf>
    <xf numFmtId="0" fontId="3" fillId="0" borderId="4" xfId="1" applyFont="1" applyBorder="1" applyAlignment="1" applyProtection="1">
      <alignment vertical="top"/>
    </xf>
    <xf numFmtId="0" fontId="21" fillId="0" borderId="2" xfId="1" applyFont="1" applyBorder="1" applyAlignment="1" applyProtection="1">
      <alignment vertical="top" wrapText="1"/>
    </xf>
    <xf numFmtId="0" fontId="16" fillId="0" borderId="0" xfId="1" applyFont="1" applyBorder="1" applyAlignment="1" applyProtection="1">
      <alignment vertical="center" wrapText="1"/>
    </xf>
    <xf numFmtId="0" fontId="16" fillId="0" borderId="0" xfId="1" applyFont="1" applyBorder="1" applyAlignment="1" applyProtection="1">
      <alignment vertical="center"/>
    </xf>
    <xf numFmtId="0" fontId="16" fillId="0" borderId="2" xfId="1" applyFont="1" applyBorder="1" applyAlignment="1" applyProtection="1">
      <alignment vertical="center"/>
    </xf>
    <xf numFmtId="0" fontId="5" fillId="0" borderId="8" xfId="1" applyFont="1" applyBorder="1" applyAlignment="1" applyProtection="1">
      <alignment vertical="top" wrapText="1"/>
    </xf>
    <xf numFmtId="0" fontId="3" fillId="0" borderId="10" xfId="1" applyFont="1" applyBorder="1" applyAlignment="1" applyProtection="1">
      <alignment vertical="top" wrapText="1"/>
    </xf>
    <xf numFmtId="0" fontId="24" fillId="0" borderId="8" xfId="1" applyFont="1" applyBorder="1" applyAlignment="1" applyProtection="1">
      <alignment vertical="top" wrapText="1"/>
    </xf>
    <xf numFmtId="0" fontId="15" fillId="0" borderId="8" xfId="1" applyFont="1" applyBorder="1" applyAlignment="1" applyProtection="1">
      <alignment vertical="top" wrapText="1"/>
    </xf>
    <xf numFmtId="0" fontId="3" fillId="0" borderId="11" xfId="1" applyFont="1" applyBorder="1" applyAlignment="1" applyProtection="1">
      <alignment vertical="top" wrapText="1"/>
    </xf>
    <xf numFmtId="0" fontId="24" fillId="0" borderId="11" xfId="1" applyFont="1" applyBorder="1" applyAlignment="1" applyProtection="1">
      <alignment vertical="top" wrapText="1"/>
    </xf>
    <xf numFmtId="0" fontId="3" fillId="0" borderId="11" xfId="1" applyFont="1" applyBorder="1" applyAlignment="1" applyProtection="1">
      <alignment horizontal="right" vertical="top" wrapText="1"/>
    </xf>
    <xf numFmtId="0" fontId="3" fillId="0" borderId="12" xfId="1" applyFont="1" applyBorder="1" applyAlignment="1" applyProtection="1">
      <alignment vertical="top" wrapText="1"/>
    </xf>
    <xf numFmtId="0" fontId="3" fillId="0" borderId="11" xfId="1" applyFont="1" applyBorder="1" applyAlignment="1" applyProtection="1">
      <alignment vertical="top"/>
    </xf>
    <xf numFmtId="0" fontId="37" fillId="0" borderId="11" xfId="1" applyBorder="1" applyProtection="1"/>
    <xf numFmtId="0" fontId="3" fillId="0" borderId="13" xfId="1" applyFont="1" applyBorder="1" applyAlignment="1" applyProtection="1">
      <alignment vertical="top" wrapText="1"/>
    </xf>
    <xf numFmtId="0" fontId="37" fillId="0" borderId="11" xfId="1" applyBorder="1" applyAlignment="1" applyProtection="1">
      <alignment vertical="top"/>
    </xf>
    <xf numFmtId="0" fontId="3" fillId="0" borderId="0" xfId="1" applyFont="1" applyBorder="1" applyAlignment="1" applyProtection="1">
      <alignment horizontal="right" vertical="top" wrapText="1"/>
    </xf>
    <xf numFmtId="0" fontId="25" fillId="0" borderId="11" xfId="1" applyFont="1" applyBorder="1" applyAlignment="1" applyProtection="1">
      <alignment vertical="top" wrapText="1"/>
    </xf>
    <xf numFmtId="0" fontId="37" fillId="0" borderId="11" xfId="1" applyBorder="1" applyAlignment="1" applyProtection="1">
      <alignment vertical="top" wrapText="1"/>
    </xf>
    <xf numFmtId="0" fontId="3" fillId="0" borderId="14" xfId="1" applyFont="1" applyBorder="1" applyAlignment="1" applyProtection="1">
      <alignment vertical="top" wrapText="1"/>
    </xf>
    <xf numFmtId="0" fontId="3" fillId="0" borderId="11" xfId="1" applyFont="1" applyBorder="1" applyAlignment="1" applyProtection="1">
      <alignment wrapText="1"/>
    </xf>
    <xf numFmtId="0" fontId="3" fillId="0" borderId="14" xfId="1" applyFont="1" applyBorder="1" applyAlignment="1" applyProtection="1">
      <alignment horizontal="right" vertical="top" wrapText="1"/>
    </xf>
    <xf numFmtId="0" fontId="3" fillId="0" borderId="14" xfId="1" applyFont="1" applyBorder="1" applyAlignment="1" applyProtection="1">
      <alignment wrapText="1"/>
    </xf>
    <xf numFmtId="0" fontId="37" fillId="0" borderId="14" xfId="1" applyBorder="1" applyProtection="1"/>
    <xf numFmtId="0" fontId="3" fillId="0" borderId="2" xfId="1" applyFont="1" applyBorder="1" applyAlignment="1" applyProtection="1">
      <alignment horizontal="right" vertical="top" wrapText="1"/>
    </xf>
    <xf numFmtId="0" fontId="3" fillId="0" borderId="15" xfId="1" applyFont="1" applyBorder="1" applyAlignment="1" applyProtection="1">
      <alignment vertical="top" wrapText="1"/>
    </xf>
    <xf numFmtId="0" fontId="26" fillId="0" borderId="0" xfId="1" applyFont="1" applyBorder="1" applyAlignment="1" applyProtection="1">
      <alignment vertical="top" wrapText="1"/>
    </xf>
    <xf numFmtId="0" fontId="10" fillId="0" borderId="8" xfId="1" applyFont="1" applyBorder="1" applyAlignment="1" applyProtection="1">
      <alignment vertical="top" wrapText="1"/>
    </xf>
    <xf numFmtId="0" fontId="16" fillId="0" borderId="8" xfId="1" applyFont="1" applyBorder="1" applyAlignment="1" applyProtection="1">
      <alignment vertical="top" wrapText="1"/>
    </xf>
    <xf numFmtId="0" fontId="24" fillId="0" borderId="0" xfId="1" applyFont="1" applyBorder="1" applyAlignment="1" applyProtection="1">
      <alignment horizontal="left" vertical="top" wrapText="1"/>
    </xf>
    <xf numFmtId="0" fontId="3" fillId="0" borderId="16" xfId="1" applyFont="1" applyBorder="1" applyAlignment="1" applyProtection="1">
      <alignment vertical="top" wrapText="1"/>
    </xf>
    <xf numFmtId="0" fontId="24" fillId="0" borderId="0" xfId="1" applyFont="1" applyBorder="1" applyAlignment="1" applyProtection="1">
      <alignment vertical="top" wrapText="1"/>
    </xf>
    <xf numFmtId="0" fontId="25" fillId="0" borderId="0" xfId="1" applyFont="1" applyBorder="1" applyAlignment="1" applyProtection="1">
      <alignment horizontal="left" vertical="top" wrapText="1"/>
    </xf>
    <xf numFmtId="0" fontId="37" fillId="0" borderId="0" xfId="1" applyBorder="1" applyAlignment="1" applyProtection="1">
      <alignment vertical="top"/>
    </xf>
    <xf numFmtId="0" fontId="37" fillId="0" borderId="0" xfId="1" applyBorder="1" applyAlignment="1" applyProtection="1">
      <alignment horizontal="left" vertical="top" wrapText="1"/>
    </xf>
    <xf numFmtId="0" fontId="3" fillId="0" borderId="0" xfId="1" applyFont="1" applyBorder="1" applyAlignment="1" applyProtection="1">
      <alignment vertical="top"/>
    </xf>
    <xf numFmtId="0" fontId="37" fillId="0" borderId="0" xfId="1" applyBorder="1" applyAlignment="1" applyProtection="1">
      <alignment wrapText="1"/>
    </xf>
    <xf numFmtId="0" fontId="27" fillId="0" borderId="0" xfId="1" applyFont="1" applyBorder="1" applyAlignment="1" applyProtection="1">
      <alignment vertical="top" wrapText="1"/>
    </xf>
    <xf numFmtId="0" fontId="3" fillId="0" borderId="0" xfId="1" applyFont="1" applyBorder="1" applyAlignment="1" applyProtection="1">
      <alignment horizontal="left" vertical="top" wrapText="1"/>
    </xf>
    <xf numFmtId="0" fontId="3" fillId="0" borderId="0" xfId="1" applyFont="1" applyBorder="1" applyProtection="1"/>
    <xf numFmtId="0" fontId="3" fillId="0" borderId="2" xfId="1" applyFont="1" applyBorder="1" applyProtection="1"/>
    <xf numFmtId="0" fontId="2" fillId="0" borderId="2" xfId="1" applyFont="1" applyBorder="1" applyAlignment="1" applyProtection="1">
      <alignment horizontal="center" vertical="top" wrapText="1"/>
    </xf>
    <xf numFmtId="0" fontId="31" fillId="0" borderId="2" xfId="1" applyFont="1" applyBorder="1" applyAlignment="1" applyProtection="1">
      <alignment vertical="top" wrapText="1"/>
    </xf>
    <xf numFmtId="0" fontId="3" fillId="0" borderId="2" xfId="1" applyFont="1" applyBorder="1" applyAlignment="1" applyProtection="1">
      <alignment horizontal="left" vertical="top" wrapText="1"/>
    </xf>
    <xf numFmtId="0" fontId="25" fillId="0" borderId="0" xfId="1" applyFont="1" applyBorder="1" applyAlignment="1" applyProtection="1">
      <alignment vertical="top" wrapText="1"/>
    </xf>
    <xf numFmtId="0" fontId="30" fillId="0" borderId="0" xfId="1" applyFont="1" applyBorder="1" applyAlignment="1" applyProtection="1">
      <alignment vertical="top" wrapText="1"/>
    </xf>
    <xf numFmtId="0" fontId="3" fillId="0" borderId="0" xfId="1" applyFont="1" applyFill="1" applyBorder="1" applyAlignment="1" applyProtection="1">
      <alignment vertical="top" wrapText="1"/>
    </xf>
  </cellXfs>
  <cellStyles count="2">
    <cellStyle name="Default 1" xfId="1" xr:uid="{00000000-0005-0000-0000-000006000000}"/>
    <cellStyle name="Normal" xfId="0" builtinId="0"/>
  </cellStyles>
  <dxfs count="0"/>
  <tableStyles count="0" defaultTableStyle="TableStyleMedium2" defaultPivotStyle="PivotStyleLight16"/>
  <colors>
    <indexedColors>
      <rgbColor rgb="FF000000"/>
      <rgbColor rgb="FFFFFFFF"/>
      <rgbColor rgb="FFFF011B"/>
      <rgbColor rgb="FF01FD55"/>
      <rgbColor rgb="FF0000FF"/>
      <rgbColor rgb="FFFFFF00"/>
      <rgbColor rgb="FFFF00FF"/>
      <rgbColor rgb="FF00FFFF"/>
      <rgbColor rgb="FF800000"/>
      <rgbColor rgb="FF006C31"/>
      <rgbColor rgb="FF000080"/>
      <rgbColor rgb="FF548235"/>
      <rgbColor rgb="FF800080"/>
      <rgbColor rgb="FF00B050"/>
      <rgbColor rgb="FFA9D18E"/>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37761D"/>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70AD47"/>
      <rgbColor rgb="FF003366"/>
      <rgbColor rgb="FF6AA84F"/>
      <rgbColor rgb="FF003300"/>
      <rgbColor rgb="FF333300"/>
      <rgbColor rgb="FF993300"/>
      <rgbColor rgb="FF993366"/>
      <rgbColor rgb="FF333399"/>
      <rgbColor rgb="FF38572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pharmawiki.ch/wiki/index.php?wiki=nevirapin"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gelbe-liste.de/wirkstoffe/Insulin-glargin_41449" TargetMode="External"/><Relationship Id="rId2" Type="http://schemas.openxmlformats.org/officeDocument/2006/relationships/hyperlink" Target="https://www.gelbe-liste.de/wirkstoffgruppen/glp-1-rezeptoragonisten-inkretinmimetika" TargetMode="External"/><Relationship Id="rId1" Type="http://schemas.openxmlformats.org/officeDocument/2006/relationships/hyperlink" Target="https://www.gelbe-liste.de/wirkstoffe/Simvastatin_10002" TargetMode="External"/><Relationship Id="rId5" Type="http://schemas.openxmlformats.org/officeDocument/2006/relationships/hyperlink" Target="https://www.gelbe-liste.de/wirkstoffe/Insulin-glargin_41449" TargetMode="External"/><Relationship Id="rId4" Type="http://schemas.openxmlformats.org/officeDocument/2006/relationships/hyperlink" Target="https://www.gelbe-liste.de/wirkstoffe/Insulin-glargin_41449"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flexikon.doccheck.com/de/Amantadin?utm_source=www.doccheck.flexikon&amp;utm_medium=web&amp;utm_campaign=DC%2BSearch"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pharmawiki.ch/wiki/index.php?wiki=cinacalcet" TargetMode="External"/><Relationship Id="rId2" Type="http://schemas.openxmlformats.org/officeDocument/2006/relationships/hyperlink" Target="https://www.gelbe-liste.de/wirkstoffe/Levothyroxin_18511" TargetMode="External"/><Relationship Id="rId1" Type="http://schemas.openxmlformats.org/officeDocument/2006/relationships/hyperlink" Target="https://www.pharmawiki.ch/wiki/index.php?wiki=thiamazol" TargetMode="External"/><Relationship Id="rId4" Type="http://schemas.openxmlformats.org/officeDocument/2006/relationships/hyperlink" Target="https://flexikon.doccheck.com/de/Alendrons&#228;ure"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pharmawiki.ch/wiki/index.php?wiki=palbociclib" TargetMode="External"/><Relationship Id="rId13" Type="http://schemas.openxmlformats.org/officeDocument/2006/relationships/vmlDrawing" Target="../drawings/vmlDrawing3.vml"/><Relationship Id="rId3" Type="http://schemas.openxmlformats.org/officeDocument/2006/relationships/hyperlink" Target="https://www.pharmawiki.ch/wiki/index.php?wiki=5_Fluorouracil" TargetMode="External"/><Relationship Id="rId7" Type="http://schemas.openxmlformats.org/officeDocument/2006/relationships/hyperlink" Target="https://www.gelbe-liste.de/wirkstoffe/Epoetin-alfa_21297" TargetMode="External"/><Relationship Id="rId12" Type="http://schemas.openxmlformats.org/officeDocument/2006/relationships/hyperlink" Target="https://www.pharmawiki.ch/wiki/index.php?wiki=pembrolizumab" TargetMode="External"/><Relationship Id="rId2" Type="http://schemas.openxmlformats.org/officeDocument/2006/relationships/hyperlink" Target="https://www.pharmawiki.ch/wiki/index.php?wiki=Mercaptopurin" TargetMode="External"/><Relationship Id="rId1" Type="http://schemas.openxmlformats.org/officeDocument/2006/relationships/hyperlink" Target="https://www.pharmawiki.ch/wiki/index.php?wiki=carboplatin" TargetMode="External"/><Relationship Id="rId6" Type="http://schemas.openxmlformats.org/officeDocument/2006/relationships/hyperlink" Target="https://www.pharmawiki.ch/wiki/index.php?wiki=tamoxifen" TargetMode="External"/><Relationship Id="rId11" Type="http://schemas.openxmlformats.org/officeDocument/2006/relationships/hyperlink" Target="https://www.pharmawiki.ch/wiki/index.php?wiki=olaparib" TargetMode="External"/><Relationship Id="rId5" Type="http://schemas.openxmlformats.org/officeDocument/2006/relationships/hyperlink" Target="https://www.pharmawiki.ch/wiki/index.php?wiki=etoposid" TargetMode="External"/><Relationship Id="rId10" Type="http://schemas.openxmlformats.org/officeDocument/2006/relationships/hyperlink" Target="https://www.pharmawiki.ch/wiki/index.php?wiki=panobinostat" TargetMode="External"/><Relationship Id="rId4" Type="http://schemas.openxmlformats.org/officeDocument/2006/relationships/hyperlink" Target="https://www.pharmawiki.ch/wiki/index.php?wiki=irinotecan" TargetMode="External"/><Relationship Id="rId9" Type="http://schemas.openxmlformats.org/officeDocument/2006/relationships/hyperlink" Target="https://www.pharmawiki.ch/wiki/index.php?wiki=Trastuzumab" TargetMode="External"/><Relationship Id="rId1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8" Type="http://schemas.openxmlformats.org/officeDocument/2006/relationships/hyperlink" Target="https://www.gelbe-liste.de/wirkstoffe/Riociguat_52312" TargetMode="External"/><Relationship Id="rId3" Type="http://schemas.openxmlformats.org/officeDocument/2006/relationships/hyperlink" Target="https://www.pharmawiki.ch/wiki/index.php?wiki=fenoterol" TargetMode="External"/><Relationship Id="rId7" Type="http://schemas.openxmlformats.org/officeDocument/2006/relationships/hyperlink" Target="https://www.pharmawiki.ch/wiki/index.php?wiki=Tiotropiumbromid" TargetMode="External"/><Relationship Id="rId2" Type="http://schemas.openxmlformats.org/officeDocument/2006/relationships/hyperlink" Target="https://www.pharmawiki.ch/wiki/index.php?wiki=salbutamol" TargetMode="External"/><Relationship Id="rId1" Type="http://schemas.openxmlformats.org/officeDocument/2006/relationships/hyperlink" Target="https://www.pharmawiki.ch/wiki/index.php?wiki=fenoterol" TargetMode="External"/><Relationship Id="rId6" Type="http://schemas.openxmlformats.org/officeDocument/2006/relationships/hyperlink" Target="https://www.pharmawiki.ch/wiki/index.php?wiki=Ipratropiumbromid" TargetMode="External"/><Relationship Id="rId5" Type="http://schemas.openxmlformats.org/officeDocument/2006/relationships/hyperlink" Target="https://www.pharmawiki.ch/wiki/index.php?wiki=fenoterol" TargetMode="External"/><Relationship Id="rId10" Type="http://schemas.openxmlformats.org/officeDocument/2006/relationships/comments" Target="../comments4.xml"/><Relationship Id="rId4" Type="http://schemas.openxmlformats.org/officeDocument/2006/relationships/hyperlink" Target="https://www.pharmawiki.ch/wiki/index.php?wiki=formoterol" TargetMode="External"/><Relationship Id="rId9"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hyperlink" Target="https://www.pharmawiki.ch/wiki/index.php?wiki=aprepitant" TargetMode="External"/><Relationship Id="rId1" Type="http://schemas.openxmlformats.org/officeDocument/2006/relationships/hyperlink" Target="https://flexikon.doccheck.com/de/Metoclopramid"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pschyrembel.de/methadon/P05WA/doc/" TargetMode="External"/><Relationship Id="rId13" Type="http://schemas.openxmlformats.org/officeDocument/2006/relationships/hyperlink" Target="https://www.gelbe-liste.de/wirkstoffe/Naloxon_21993" TargetMode="External"/><Relationship Id="rId3" Type="http://schemas.openxmlformats.org/officeDocument/2006/relationships/hyperlink" Target="https://flexikon.doccheck.com/de/Buprenorphin" TargetMode="External"/><Relationship Id="rId7" Type="http://schemas.openxmlformats.org/officeDocument/2006/relationships/hyperlink" Target="https://flexikon.doccheck.com/de/Buprenorphin" TargetMode="External"/><Relationship Id="rId12" Type="http://schemas.openxmlformats.org/officeDocument/2006/relationships/hyperlink" Target="https://www.pharmawiki.ch/wiki/index.php?wiki=tilidin" TargetMode="External"/><Relationship Id="rId2" Type="http://schemas.openxmlformats.org/officeDocument/2006/relationships/hyperlink" Target="https://de.wikipedia.org/wiki/Sevofluran" TargetMode="External"/><Relationship Id="rId16" Type="http://schemas.openxmlformats.org/officeDocument/2006/relationships/comments" Target="../comments5.xml"/><Relationship Id="rId1" Type="http://schemas.openxmlformats.org/officeDocument/2006/relationships/hyperlink" Target="https://www.pharmawiki.ch/wiki/index.php?wiki=etoricoxib" TargetMode="External"/><Relationship Id="rId6" Type="http://schemas.openxmlformats.org/officeDocument/2006/relationships/hyperlink" Target="https://flexikon.doccheck.com/de/Buprenorphin" TargetMode="External"/><Relationship Id="rId11" Type="http://schemas.openxmlformats.org/officeDocument/2006/relationships/hyperlink" Target="https://www.pharmawiki.ch/wiki/index.php?wiki=Remifentanil" TargetMode="External"/><Relationship Id="rId5" Type="http://schemas.openxmlformats.org/officeDocument/2006/relationships/hyperlink" Target="https://flexikon.doccheck.com/de/Buprenorphin" TargetMode="External"/><Relationship Id="rId15" Type="http://schemas.openxmlformats.org/officeDocument/2006/relationships/vmlDrawing" Target="../drawings/vmlDrawing5.vml"/><Relationship Id="rId10" Type="http://schemas.openxmlformats.org/officeDocument/2006/relationships/hyperlink" Target="https://flexikon.doccheck.com/de/Buprenorphin" TargetMode="External"/><Relationship Id="rId4" Type="http://schemas.openxmlformats.org/officeDocument/2006/relationships/hyperlink" Target="https://flexikon.doccheck.com/de/DihydrocodeinQ9" TargetMode="External"/><Relationship Id="rId9" Type="http://schemas.openxmlformats.org/officeDocument/2006/relationships/hyperlink" Target="https://flexikon.doccheck.com/de/Buprenorphin" TargetMode="External"/><Relationship Id="rId14" Type="http://schemas.openxmlformats.org/officeDocument/2006/relationships/hyperlink" Target="https://flexikon.doccheck.com/de/Buprenorphin"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www.gelbe-liste.de/wirkstoffe/Levonorgestrel_2834" TargetMode="External"/><Relationship Id="rId1" Type="http://schemas.openxmlformats.org/officeDocument/2006/relationships/hyperlink" Target="https://www.pharmawiki.ch/wiki/index.php?wiki=flutami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04"/>
  <sheetViews>
    <sheetView zoomScale="57" zoomScaleNormal="57" workbookViewId="0"/>
  </sheetViews>
  <sheetFormatPr defaultColWidth="5.28515625" defaultRowHeight="12.75"/>
  <cols>
    <col min="1" max="1" width="14.28515625" style="5" customWidth="1"/>
    <col min="2" max="2" width="4.28515625" style="5" customWidth="1"/>
    <col min="3" max="3" width="8.85546875" style="5" customWidth="1"/>
    <col min="4" max="4" width="18.7109375" style="5" customWidth="1"/>
    <col min="5" max="5" width="7.85546875" style="5" customWidth="1"/>
    <col min="6" max="6" width="9.28515625" style="5" customWidth="1"/>
    <col min="7" max="7" width="13" style="5" customWidth="1"/>
    <col min="8" max="8" width="10.140625" style="5" customWidth="1"/>
    <col min="9" max="9" width="27.7109375" style="5" customWidth="1"/>
    <col min="10" max="10" width="5.28515625" style="5"/>
    <col min="11" max="11" width="18.85546875" style="5" customWidth="1"/>
    <col min="12" max="12" width="5.28515625" style="5"/>
    <col min="13" max="13" width="24.85546875" style="5" customWidth="1"/>
    <col min="14" max="14" width="5.28515625" style="5"/>
    <col min="15" max="15" width="19.85546875" style="5" customWidth="1"/>
    <col min="16" max="16" width="5.28515625" style="5"/>
    <col min="17" max="17" width="23.140625" style="5" customWidth="1"/>
    <col min="18" max="18" width="5.28515625" style="5"/>
    <col min="19" max="19" width="11.5703125" style="5" customWidth="1"/>
    <col min="20" max="20" width="15.140625" style="5" customWidth="1"/>
    <col min="21" max="21" width="21" style="5" customWidth="1"/>
    <col min="22" max="22" width="24.5703125" style="5" customWidth="1"/>
    <col min="23" max="1024" width="5.28515625" style="5"/>
  </cols>
  <sheetData>
    <row r="1" spans="1:22" ht="13.9" customHeight="1">
      <c r="A1" s="4"/>
      <c r="B1" s="3" t="s">
        <v>0</v>
      </c>
      <c r="C1" s="3" t="s">
        <v>1</v>
      </c>
      <c r="D1" s="3" t="s">
        <v>2</v>
      </c>
      <c r="E1" s="3" t="s">
        <v>3</v>
      </c>
      <c r="F1" s="3" t="s">
        <v>4</v>
      </c>
      <c r="G1" s="3" t="s">
        <v>5</v>
      </c>
      <c r="H1" s="3" t="s">
        <v>6</v>
      </c>
      <c r="I1" s="3"/>
      <c r="J1" s="3"/>
      <c r="K1" s="3"/>
      <c r="L1" s="3"/>
      <c r="M1" s="3"/>
      <c r="N1" s="3"/>
      <c r="O1" s="3"/>
      <c r="P1" s="3"/>
      <c r="Q1" s="3"/>
      <c r="R1" s="3"/>
      <c r="S1" s="3"/>
      <c r="T1" s="3"/>
      <c r="V1" s="6"/>
    </row>
    <row r="2" spans="1:22" ht="75">
      <c r="A2" s="4"/>
      <c r="B2" s="4"/>
      <c r="C2" s="4"/>
      <c r="D2" s="4"/>
      <c r="E2" s="4"/>
      <c r="F2" s="4"/>
      <c r="G2" s="4"/>
      <c r="H2" s="7" t="s">
        <v>7</v>
      </c>
      <c r="I2" s="7" t="s">
        <v>8</v>
      </c>
      <c r="J2" s="7" t="s">
        <v>9</v>
      </c>
      <c r="K2" s="7" t="s">
        <v>10</v>
      </c>
      <c r="L2" s="7" t="s">
        <v>9</v>
      </c>
      <c r="M2" s="7" t="s">
        <v>11</v>
      </c>
      <c r="N2" s="7" t="s">
        <v>9</v>
      </c>
      <c r="O2" s="7" t="s">
        <v>12</v>
      </c>
      <c r="P2" s="7" t="s">
        <v>9</v>
      </c>
      <c r="Q2" s="7" t="s">
        <v>13</v>
      </c>
      <c r="R2" s="7" t="s">
        <v>9</v>
      </c>
      <c r="S2" s="7" t="s">
        <v>14</v>
      </c>
      <c r="T2" s="7" t="s">
        <v>9</v>
      </c>
      <c r="U2" s="6" t="s">
        <v>15</v>
      </c>
      <c r="V2" s="6" t="s">
        <v>16</v>
      </c>
    </row>
    <row r="3" spans="1:22" ht="195">
      <c r="A3" s="7" t="s">
        <v>17</v>
      </c>
      <c r="B3" s="7"/>
      <c r="C3" s="7" t="s">
        <v>18</v>
      </c>
      <c r="D3" s="7" t="s">
        <v>19</v>
      </c>
      <c r="E3" s="7" t="s">
        <v>20</v>
      </c>
      <c r="F3" s="7" t="s">
        <v>21</v>
      </c>
      <c r="G3" s="7" t="s">
        <v>22</v>
      </c>
      <c r="H3" s="7" t="s">
        <v>21</v>
      </c>
      <c r="I3" s="7" t="s">
        <v>23</v>
      </c>
      <c r="J3" s="7"/>
      <c r="K3" s="7" t="s">
        <v>24</v>
      </c>
      <c r="L3" s="7"/>
      <c r="M3" s="7" t="s">
        <v>25</v>
      </c>
      <c r="N3" s="7"/>
      <c r="O3" s="7" t="s">
        <v>26</v>
      </c>
      <c r="P3" s="7"/>
      <c r="Q3" s="8" t="s">
        <v>27</v>
      </c>
      <c r="R3" s="7"/>
      <c r="S3" s="7" t="s">
        <v>28</v>
      </c>
      <c r="T3" s="7" t="s">
        <v>29</v>
      </c>
      <c r="U3" s="7"/>
      <c r="V3" s="7"/>
    </row>
    <row r="4" spans="1:22" ht="141" customHeight="1">
      <c r="A4" s="7" t="s">
        <v>30</v>
      </c>
      <c r="B4" s="7"/>
      <c r="C4" s="7" t="s">
        <v>18</v>
      </c>
      <c r="D4" s="7" t="s">
        <v>31</v>
      </c>
      <c r="E4" s="7" t="s">
        <v>32</v>
      </c>
      <c r="F4" s="7" t="s">
        <v>33</v>
      </c>
      <c r="G4" s="7" t="s">
        <v>22</v>
      </c>
      <c r="H4" s="7" t="s">
        <v>33</v>
      </c>
      <c r="I4" s="7" t="s">
        <v>34</v>
      </c>
      <c r="J4" s="7"/>
      <c r="K4" s="7" t="s">
        <v>35</v>
      </c>
      <c r="L4" s="7"/>
      <c r="M4" s="7" t="s">
        <v>36</v>
      </c>
      <c r="N4" s="7"/>
      <c r="O4" s="7" t="s">
        <v>37</v>
      </c>
      <c r="P4" s="7"/>
      <c r="Q4" s="8" t="s">
        <v>38</v>
      </c>
      <c r="R4" s="7"/>
      <c r="S4" s="7" t="s">
        <v>39</v>
      </c>
      <c r="T4" s="7" t="s">
        <v>40</v>
      </c>
      <c r="U4" s="7"/>
      <c r="V4" s="7"/>
    </row>
    <row r="5" spans="1:22" ht="330">
      <c r="A5" s="7" t="s">
        <v>41</v>
      </c>
      <c r="B5" s="7"/>
      <c r="C5" s="7" t="s">
        <v>18</v>
      </c>
      <c r="D5" s="7" t="s">
        <v>42</v>
      </c>
      <c r="E5" s="7" t="s">
        <v>43</v>
      </c>
      <c r="F5" s="7" t="s">
        <v>44</v>
      </c>
      <c r="G5" s="7" t="s">
        <v>22</v>
      </c>
      <c r="H5" s="7" t="s">
        <v>44</v>
      </c>
      <c r="I5" s="7" t="s">
        <v>45</v>
      </c>
      <c r="J5" s="7"/>
      <c r="K5" s="7" t="s">
        <v>46</v>
      </c>
      <c r="L5" s="7"/>
      <c r="M5" s="7" t="s">
        <v>47</v>
      </c>
      <c r="N5" s="7"/>
      <c r="O5" s="7" t="s">
        <v>48</v>
      </c>
      <c r="P5" s="7"/>
      <c r="Q5" s="7" t="s">
        <v>49</v>
      </c>
      <c r="R5" s="7"/>
      <c r="S5" s="7"/>
      <c r="T5" s="7"/>
      <c r="U5" s="7"/>
      <c r="V5" s="7"/>
    </row>
    <row r="6" spans="1:22" ht="171" customHeight="1">
      <c r="A6" s="7" t="s">
        <v>50</v>
      </c>
      <c r="B6" s="7"/>
      <c r="C6" s="7" t="s">
        <v>18</v>
      </c>
      <c r="D6" s="7" t="s">
        <v>51</v>
      </c>
      <c r="E6" s="7" t="s">
        <v>43</v>
      </c>
      <c r="F6" s="7" t="s">
        <v>52</v>
      </c>
      <c r="G6" s="7" t="s">
        <v>22</v>
      </c>
      <c r="H6" s="7" t="s">
        <v>52</v>
      </c>
      <c r="I6" s="7" t="s">
        <v>53</v>
      </c>
      <c r="J6" s="7"/>
      <c r="K6" s="7" t="s">
        <v>54</v>
      </c>
      <c r="L6" s="7"/>
      <c r="M6" s="7" t="s">
        <v>55</v>
      </c>
      <c r="N6" s="7"/>
      <c r="O6" s="7" t="s">
        <v>56</v>
      </c>
      <c r="P6" s="7"/>
      <c r="Q6" s="7"/>
      <c r="R6" s="7"/>
      <c r="S6" s="7"/>
      <c r="T6" s="7"/>
      <c r="U6" s="7"/>
      <c r="V6" s="7"/>
    </row>
    <row r="7" spans="1:22" ht="145.35" customHeight="1">
      <c r="A7" s="7" t="s">
        <v>57</v>
      </c>
      <c r="B7" s="7"/>
      <c r="C7" s="7" t="s">
        <v>18</v>
      </c>
      <c r="D7" s="7" t="s">
        <v>58</v>
      </c>
      <c r="E7" s="7" t="s">
        <v>32</v>
      </c>
      <c r="F7" s="7" t="s">
        <v>59</v>
      </c>
      <c r="G7" s="7" t="s">
        <v>22</v>
      </c>
      <c r="H7" s="7" t="s">
        <v>59</v>
      </c>
      <c r="I7" s="7" t="s">
        <v>60</v>
      </c>
      <c r="J7" s="7"/>
      <c r="K7" s="7" t="s">
        <v>61</v>
      </c>
      <c r="L7" s="7"/>
      <c r="M7" s="7" t="s">
        <v>62</v>
      </c>
      <c r="N7" s="7"/>
      <c r="O7" s="8" t="s">
        <v>63</v>
      </c>
      <c r="P7" s="7"/>
      <c r="Q7" s="7" t="s">
        <v>64</v>
      </c>
      <c r="R7" s="7"/>
      <c r="S7" s="7" t="s">
        <v>65</v>
      </c>
      <c r="T7" s="7" t="s">
        <v>66</v>
      </c>
      <c r="U7" s="7"/>
      <c r="V7" s="7"/>
    </row>
    <row r="8" spans="1:22" ht="330">
      <c r="A8" s="7" t="s">
        <v>67</v>
      </c>
      <c r="B8" s="7"/>
      <c r="C8" s="7" t="s">
        <v>18</v>
      </c>
      <c r="D8" s="7" t="s">
        <v>68</v>
      </c>
      <c r="E8" s="7" t="s">
        <v>20</v>
      </c>
      <c r="F8" s="7" t="s">
        <v>69</v>
      </c>
      <c r="G8" s="7" t="s">
        <v>22</v>
      </c>
      <c r="H8" s="7" t="s">
        <v>69</v>
      </c>
      <c r="I8" s="7" t="s">
        <v>70</v>
      </c>
      <c r="J8" s="7"/>
      <c r="K8" s="7" t="s">
        <v>71</v>
      </c>
      <c r="L8" s="7"/>
      <c r="M8" s="7" t="s">
        <v>72</v>
      </c>
      <c r="N8" s="7"/>
      <c r="O8" s="7" t="s">
        <v>73</v>
      </c>
      <c r="P8" s="7"/>
      <c r="Q8" s="8" t="s">
        <v>74</v>
      </c>
      <c r="R8" s="7"/>
      <c r="S8" s="7" t="s">
        <v>75</v>
      </c>
      <c r="T8" s="7" t="s">
        <v>76</v>
      </c>
      <c r="U8" s="7"/>
      <c r="V8" s="7"/>
    </row>
    <row r="9" spans="1:22" ht="135">
      <c r="A9" s="7" t="s">
        <v>77</v>
      </c>
      <c r="B9" s="7"/>
      <c r="C9" s="7" t="s">
        <v>18</v>
      </c>
      <c r="D9" s="7" t="s">
        <v>78</v>
      </c>
      <c r="E9" s="7" t="s">
        <v>20</v>
      </c>
      <c r="F9" s="7" t="s">
        <v>79</v>
      </c>
      <c r="G9" s="7" t="s">
        <v>22</v>
      </c>
      <c r="H9" s="7" t="s">
        <v>79</v>
      </c>
      <c r="I9" s="7" t="s">
        <v>80</v>
      </c>
      <c r="J9" s="7"/>
      <c r="K9" s="7" t="s">
        <v>81</v>
      </c>
      <c r="L9" s="7"/>
      <c r="M9" s="7" t="s">
        <v>82</v>
      </c>
      <c r="N9" s="7"/>
      <c r="O9" s="7" t="s">
        <v>83</v>
      </c>
      <c r="P9" s="7"/>
      <c r="Q9" s="7"/>
      <c r="R9" s="7"/>
      <c r="S9" s="7"/>
      <c r="T9" s="7"/>
      <c r="U9" s="7"/>
      <c r="V9" s="7"/>
    </row>
    <row r="10" spans="1:22" ht="255">
      <c r="A10" s="7" t="s">
        <v>84</v>
      </c>
      <c r="B10" s="7"/>
      <c r="C10" s="7" t="s">
        <v>18</v>
      </c>
      <c r="D10" s="7" t="s">
        <v>85</v>
      </c>
      <c r="E10" s="7" t="s">
        <v>86</v>
      </c>
      <c r="F10" s="7" t="s">
        <v>87</v>
      </c>
      <c r="G10" s="7" t="s">
        <v>22</v>
      </c>
      <c r="H10" s="7" t="s">
        <v>87</v>
      </c>
      <c r="I10" s="7" t="s">
        <v>88</v>
      </c>
      <c r="J10" s="7"/>
      <c r="K10" s="7" t="s">
        <v>89</v>
      </c>
      <c r="L10" s="7"/>
      <c r="M10" s="7" t="s">
        <v>90</v>
      </c>
      <c r="N10" s="7"/>
      <c r="O10" s="7" t="s">
        <v>91</v>
      </c>
      <c r="P10" s="7"/>
      <c r="Q10" s="7" t="s">
        <v>92</v>
      </c>
      <c r="R10" s="7"/>
      <c r="S10" s="7" t="s">
        <v>93</v>
      </c>
      <c r="T10" s="7" t="s">
        <v>94</v>
      </c>
      <c r="U10" s="7"/>
      <c r="V10" s="7"/>
    </row>
    <row r="11" spans="1:22" ht="409.5">
      <c r="A11" s="7" t="s">
        <v>95</v>
      </c>
      <c r="B11" s="7"/>
      <c r="C11" s="7" t="s">
        <v>18</v>
      </c>
      <c r="D11" s="7" t="s">
        <v>96</v>
      </c>
      <c r="E11" s="7" t="s">
        <v>20</v>
      </c>
      <c r="F11" s="7" t="s">
        <v>97</v>
      </c>
      <c r="G11" s="7" t="s">
        <v>22</v>
      </c>
      <c r="H11" s="7" t="s">
        <v>97</v>
      </c>
      <c r="I11" s="7" t="s">
        <v>98</v>
      </c>
      <c r="J11" s="7"/>
      <c r="K11" s="7" t="s">
        <v>99</v>
      </c>
      <c r="L11" s="7"/>
      <c r="M11" s="7" t="s">
        <v>100</v>
      </c>
      <c r="N11" s="7"/>
      <c r="O11" s="7" t="s">
        <v>101</v>
      </c>
      <c r="P11" s="7"/>
      <c r="Q11" s="8" t="s">
        <v>102</v>
      </c>
      <c r="R11" s="7"/>
      <c r="S11" s="7" t="s">
        <v>103</v>
      </c>
      <c r="T11" s="7"/>
      <c r="U11" s="7"/>
      <c r="V11" s="7"/>
    </row>
    <row r="12" spans="1:22" ht="117.95" customHeight="1">
      <c r="A12" s="7" t="s">
        <v>104</v>
      </c>
      <c r="B12" s="7"/>
      <c r="C12" s="7" t="s">
        <v>18</v>
      </c>
      <c r="D12" s="7" t="s">
        <v>105</v>
      </c>
      <c r="E12" s="7" t="s">
        <v>20</v>
      </c>
      <c r="F12" s="7" t="s">
        <v>79</v>
      </c>
      <c r="G12" s="7" t="s">
        <v>22</v>
      </c>
      <c r="H12" s="7" t="s">
        <v>79</v>
      </c>
      <c r="I12" s="7" t="s">
        <v>106</v>
      </c>
      <c r="J12" s="7"/>
      <c r="K12" s="7" t="s">
        <v>107</v>
      </c>
      <c r="L12" s="7"/>
      <c r="M12" s="7" t="s">
        <v>108</v>
      </c>
      <c r="N12" s="7"/>
      <c r="O12" s="7" t="s">
        <v>109</v>
      </c>
      <c r="P12" s="7"/>
      <c r="Q12" s="7"/>
      <c r="R12" s="7"/>
      <c r="S12" s="7"/>
      <c r="T12" s="7"/>
      <c r="U12" s="7"/>
      <c r="V12" s="7"/>
    </row>
    <row r="13" spans="1:22" ht="186.95" customHeight="1">
      <c r="A13" s="7" t="s">
        <v>110</v>
      </c>
      <c r="B13" s="7"/>
      <c r="C13" s="7" t="s">
        <v>18</v>
      </c>
      <c r="D13" s="7" t="s">
        <v>111</v>
      </c>
      <c r="E13" s="7" t="s">
        <v>32</v>
      </c>
      <c r="F13" s="7" t="s">
        <v>112</v>
      </c>
      <c r="G13" s="7" t="s">
        <v>22</v>
      </c>
      <c r="H13" s="7" t="s">
        <v>112</v>
      </c>
      <c r="I13" s="7" t="s">
        <v>113</v>
      </c>
      <c r="J13" s="7"/>
      <c r="K13" s="7" t="s">
        <v>114</v>
      </c>
      <c r="L13" s="7"/>
      <c r="M13" s="7" t="s">
        <v>115</v>
      </c>
      <c r="N13" s="7"/>
      <c r="O13" s="7" t="s">
        <v>116</v>
      </c>
      <c r="P13" s="7"/>
      <c r="Q13" s="7" t="s">
        <v>117</v>
      </c>
      <c r="R13" s="7"/>
      <c r="S13" s="7" t="s">
        <v>118</v>
      </c>
      <c r="T13" s="7" t="s">
        <v>119</v>
      </c>
      <c r="U13" s="7"/>
      <c r="V13" s="7"/>
    </row>
    <row r="14" spans="1:22" ht="227.1" customHeight="1">
      <c r="A14" s="7" t="s">
        <v>120</v>
      </c>
      <c r="B14" s="7"/>
      <c r="C14" s="7" t="s">
        <v>18</v>
      </c>
      <c r="D14" s="7" t="s">
        <v>121</v>
      </c>
      <c r="E14" s="7" t="s">
        <v>32</v>
      </c>
      <c r="F14" s="7" t="s">
        <v>122</v>
      </c>
      <c r="G14" s="7" t="s">
        <v>22</v>
      </c>
      <c r="H14" s="7" t="s">
        <v>122</v>
      </c>
      <c r="I14" s="7" t="s">
        <v>123</v>
      </c>
      <c r="J14" s="7"/>
      <c r="K14" s="7" t="s">
        <v>124</v>
      </c>
      <c r="L14" s="7"/>
      <c r="M14" s="7" t="s">
        <v>125</v>
      </c>
      <c r="N14" s="7"/>
      <c r="O14" s="7" t="s">
        <v>126</v>
      </c>
      <c r="P14" s="7"/>
      <c r="Q14" s="7" t="s">
        <v>127</v>
      </c>
      <c r="R14" s="7"/>
      <c r="S14" s="7" t="s">
        <v>128</v>
      </c>
      <c r="T14" s="9" t="s">
        <v>129</v>
      </c>
      <c r="U14" s="7"/>
      <c r="V14" s="7"/>
    </row>
    <row r="15" spans="1:22" ht="409.5">
      <c r="A15" s="7" t="s">
        <v>130</v>
      </c>
      <c r="B15" s="7"/>
      <c r="C15" s="7" t="s">
        <v>18</v>
      </c>
      <c r="D15" s="7" t="s">
        <v>131</v>
      </c>
      <c r="E15" s="7" t="s">
        <v>132</v>
      </c>
      <c r="F15" s="7" t="s">
        <v>133</v>
      </c>
      <c r="G15" s="7" t="s">
        <v>22</v>
      </c>
      <c r="H15" s="7" t="s">
        <v>133</v>
      </c>
      <c r="I15" s="7" t="s">
        <v>134</v>
      </c>
      <c r="J15" s="7"/>
      <c r="K15" s="7" t="s">
        <v>135</v>
      </c>
      <c r="L15" s="7"/>
      <c r="M15" s="7" t="s">
        <v>136</v>
      </c>
      <c r="N15" s="7"/>
      <c r="O15" s="7" t="s">
        <v>137</v>
      </c>
      <c r="P15" s="7"/>
      <c r="Q15" s="7" t="s">
        <v>138</v>
      </c>
      <c r="R15" s="7"/>
      <c r="S15" s="7" t="s">
        <v>139</v>
      </c>
      <c r="T15" s="7" t="s">
        <v>140</v>
      </c>
      <c r="U15" s="7"/>
      <c r="V15" s="7"/>
    </row>
    <row r="16" spans="1:22" ht="77.25" customHeight="1">
      <c r="A16" s="7" t="s">
        <v>141</v>
      </c>
      <c r="B16" s="7"/>
      <c r="C16" s="7" t="s">
        <v>18</v>
      </c>
      <c r="D16" s="7" t="s">
        <v>142</v>
      </c>
      <c r="E16" s="7" t="s">
        <v>20</v>
      </c>
      <c r="F16" s="7" t="s">
        <v>21</v>
      </c>
      <c r="G16" s="7" t="s">
        <v>22</v>
      </c>
      <c r="H16" s="7" t="s">
        <v>21</v>
      </c>
      <c r="I16" s="7" t="s">
        <v>143</v>
      </c>
      <c r="J16" s="7"/>
      <c r="K16" s="7" t="s">
        <v>144</v>
      </c>
      <c r="L16" s="7"/>
      <c r="M16" s="7" t="s">
        <v>145</v>
      </c>
      <c r="N16" s="7"/>
      <c r="O16" s="7" t="s">
        <v>146</v>
      </c>
      <c r="P16" s="7"/>
      <c r="Q16" s="8" t="s">
        <v>147</v>
      </c>
      <c r="R16" s="7"/>
      <c r="S16" s="7"/>
      <c r="T16" s="7"/>
      <c r="U16" s="7"/>
      <c r="V16" s="7"/>
    </row>
    <row r="17" spans="1:22" ht="390">
      <c r="A17" s="7" t="s">
        <v>148</v>
      </c>
      <c r="B17" s="7"/>
      <c r="C17" s="7" t="s">
        <v>18</v>
      </c>
      <c r="D17" s="7" t="s">
        <v>149</v>
      </c>
      <c r="E17" s="7" t="s">
        <v>32</v>
      </c>
      <c r="F17" s="7" t="s">
        <v>150</v>
      </c>
      <c r="G17" s="7" t="s">
        <v>22</v>
      </c>
      <c r="H17" s="7" t="s">
        <v>150</v>
      </c>
      <c r="I17" s="7" t="s">
        <v>151</v>
      </c>
      <c r="J17" s="7"/>
      <c r="K17" s="7" t="s">
        <v>152</v>
      </c>
      <c r="L17" s="7"/>
      <c r="M17" s="7" t="s">
        <v>153</v>
      </c>
      <c r="N17" s="7"/>
      <c r="O17" s="7" t="s">
        <v>154</v>
      </c>
      <c r="P17" s="7"/>
      <c r="Q17" s="7" t="s">
        <v>155</v>
      </c>
      <c r="R17" s="7"/>
      <c r="S17" s="7" t="s">
        <v>156</v>
      </c>
      <c r="T17" s="7" t="s">
        <v>157</v>
      </c>
      <c r="U17" s="7"/>
      <c r="V17" s="7"/>
    </row>
    <row r="18" spans="1:22" ht="167.1" customHeight="1">
      <c r="A18" s="7" t="s">
        <v>158</v>
      </c>
      <c r="B18" s="7"/>
      <c r="C18" s="7" t="s">
        <v>18</v>
      </c>
      <c r="D18" s="7" t="s">
        <v>159</v>
      </c>
      <c r="E18" s="7" t="s">
        <v>86</v>
      </c>
      <c r="F18" s="7" t="s">
        <v>160</v>
      </c>
      <c r="G18" s="7" t="s">
        <v>22</v>
      </c>
      <c r="H18" s="7" t="s">
        <v>160</v>
      </c>
      <c r="I18" s="7" t="s">
        <v>161</v>
      </c>
      <c r="J18" s="7"/>
      <c r="K18" s="7" t="s">
        <v>162</v>
      </c>
      <c r="L18" s="7"/>
      <c r="M18" s="7" t="s">
        <v>163</v>
      </c>
      <c r="N18" s="7"/>
      <c r="O18" s="7" t="s">
        <v>164</v>
      </c>
      <c r="P18" s="7"/>
      <c r="Q18" s="8" t="s">
        <v>165</v>
      </c>
      <c r="R18" s="7"/>
      <c r="S18" s="7" t="s">
        <v>166</v>
      </c>
      <c r="T18" s="7" t="s">
        <v>167</v>
      </c>
      <c r="U18" s="7"/>
      <c r="V18" s="7"/>
    </row>
    <row r="19" spans="1:22" ht="225">
      <c r="A19" s="7" t="s">
        <v>168</v>
      </c>
      <c r="B19" s="7"/>
      <c r="C19" s="7" t="s">
        <v>18</v>
      </c>
      <c r="D19" s="7" t="s">
        <v>169</v>
      </c>
      <c r="E19" s="7" t="s">
        <v>32</v>
      </c>
      <c r="F19" s="7" t="s">
        <v>170</v>
      </c>
      <c r="G19" s="7" t="s">
        <v>22</v>
      </c>
      <c r="H19" s="7" t="s">
        <v>170</v>
      </c>
      <c r="I19" s="7" t="s">
        <v>171</v>
      </c>
      <c r="J19" s="7"/>
      <c r="K19" s="7" t="s">
        <v>172</v>
      </c>
      <c r="L19" s="7"/>
      <c r="M19" s="7" t="s">
        <v>173</v>
      </c>
      <c r="N19" s="7"/>
      <c r="O19" s="7" t="s">
        <v>174</v>
      </c>
      <c r="P19" s="7"/>
      <c r="Q19" s="7"/>
      <c r="R19" s="7"/>
      <c r="S19" s="7" t="s">
        <v>156</v>
      </c>
      <c r="T19" s="7" t="s">
        <v>157</v>
      </c>
      <c r="U19" s="7"/>
      <c r="V19" s="7"/>
    </row>
    <row r="20" spans="1:22" ht="390">
      <c r="A20" s="7" t="s">
        <v>175</v>
      </c>
      <c r="B20" s="7"/>
      <c r="C20" s="7" t="s">
        <v>18</v>
      </c>
      <c r="D20" s="7" t="s">
        <v>176</v>
      </c>
      <c r="E20" s="7" t="s">
        <v>132</v>
      </c>
      <c r="F20" s="7" t="s">
        <v>177</v>
      </c>
      <c r="G20" s="7" t="s">
        <v>22</v>
      </c>
      <c r="H20" s="7" t="s">
        <v>177</v>
      </c>
      <c r="I20" s="7" t="s">
        <v>178</v>
      </c>
      <c r="J20" s="7"/>
      <c r="K20" s="7" t="s">
        <v>179</v>
      </c>
      <c r="L20" s="7"/>
      <c r="M20" s="7" t="s">
        <v>180</v>
      </c>
      <c r="N20" s="7"/>
      <c r="O20" s="7" t="s">
        <v>181</v>
      </c>
      <c r="P20" s="7"/>
      <c r="Q20" s="8" t="s">
        <v>182</v>
      </c>
      <c r="R20" s="7"/>
      <c r="S20" s="7" t="s">
        <v>166</v>
      </c>
      <c r="T20" s="7" t="s">
        <v>167</v>
      </c>
      <c r="U20" s="7"/>
      <c r="V20" s="7"/>
    </row>
    <row r="21" spans="1:22" ht="270">
      <c r="A21" s="7" t="s">
        <v>183</v>
      </c>
      <c r="B21" s="7"/>
      <c r="C21" s="7" t="s">
        <v>18</v>
      </c>
      <c r="D21" s="7" t="s">
        <v>184</v>
      </c>
      <c r="E21" s="7" t="s">
        <v>185</v>
      </c>
      <c r="F21" s="7" t="s">
        <v>186</v>
      </c>
      <c r="G21" s="7" t="s">
        <v>22</v>
      </c>
      <c r="H21" s="7" t="s">
        <v>186</v>
      </c>
      <c r="I21" s="7" t="s">
        <v>187</v>
      </c>
      <c r="J21" s="7"/>
      <c r="K21" s="7" t="s">
        <v>188</v>
      </c>
      <c r="L21" s="7"/>
      <c r="M21" s="7" t="s">
        <v>189</v>
      </c>
      <c r="N21" s="7"/>
      <c r="O21" s="7" t="s">
        <v>190</v>
      </c>
      <c r="P21" s="7"/>
      <c r="Q21" s="7" t="s">
        <v>191</v>
      </c>
      <c r="R21" s="7"/>
      <c r="S21" s="7" t="s">
        <v>192</v>
      </c>
      <c r="T21" s="7" t="s">
        <v>193</v>
      </c>
      <c r="U21" s="7"/>
      <c r="V21" s="7"/>
    </row>
    <row r="22" spans="1:22" ht="180">
      <c r="A22" s="7" t="s">
        <v>194</v>
      </c>
      <c r="B22" s="7"/>
      <c r="C22" s="7" t="s">
        <v>18</v>
      </c>
      <c r="D22" s="7" t="s">
        <v>195</v>
      </c>
      <c r="E22" s="7" t="s">
        <v>32</v>
      </c>
      <c r="F22" s="7" t="s">
        <v>196</v>
      </c>
      <c r="G22" s="7" t="s">
        <v>22</v>
      </c>
      <c r="H22" s="7" t="s">
        <v>196</v>
      </c>
      <c r="I22" s="7" t="s">
        <v>197</v>
      </c>
      <c r="J22" s="7"/>
      <c r="K22" s="7" t="s">
        <v>198</v>
      </c>
      <c r="L22" s="7"/>
      <c r="M22" s="7" t="s">
        <v>199</v>
      </c>
      <c r="N22" s="7"/>
      <c r="O22" s="7" t="s">
        <v>200</v>
      </c>
      <c r="P22" s="7"/>
      <c r="Q22" s="7" t="s">
        <v>201</v>
      </c>
      <c r="R22" s="7"/>
      <c r="S22" s="7" t="s">
        <v>156</v>
      </c>
      <c r="T22" s="7" t="s">
        <v>157</v>
      </c>
      <c r="U22" s="7"/>
      <c r="V22" s="7"/>
    </row>
    <row r="23" spans="1:22" ht="243" customHeight="1">
      <c r="A23" s="7" t="s">
        <v>202</v>
      </c>
      <c r="B23" s="7"/>
      <c r="C23" s="7" t="s">
        <v>18</v>
      </c>
      <c r="D23" s="7" t="s">
        <v>203</v>
      </c>
      <c r="E23" s="7" t="s">
        <v>132</v>
      </c>
      <c r="F23" s="7" t="s">
        <v>204</v>
      </c>
      <c r="G23" s="7" t="s">
        <v>22</v>
      </c>
      <c r="H23" s="7" t="s">
        <v>204</v>
      </c>
      <c r="I23" s="7" t="s">
        <v>205</v>
      </c>
      <c r="J23" s="7"/>
      <c r="K23" s="7" t="s">
        <v>206</v>
      </c>
      <c r="L23" s="7"/>
      <c r="M23" s="7" t="s">
        <v>207</v>
      </c>
      <c r="N23" s="7"/>
      <c r="O23" s="7" t="s">
        <v>208</v>
      </c>
      <c r="P23" s="7"/>
      <c r="Q23" s="8" t="s">
        <v>209</v>
      </c>
      <c r="R23" s="7"/>
      <c r="S23" s="7" t="s">
        <v>166</v>
      </c>
      <c r="T23" s="7" t="s">
        <v>167</v>
      </c>
      <c r="U23" s="7"/>
      <c r="V23" s="7"/>
    </row>
    <row r="24" spans="1:22" ht="195">
      <c r="A24" s="7" t="s">
        <v>210</v>
      </c>
      <c r="B24" s="7"/>
      <c r="C24" s="7" t="s">
        <v>18</v>
      </c>
      <c r="D24" s="7" t="s">
        <v>211</v>
      </c>
      <c r="E24" s="7" t="s">
        <v>32</v>
      </c>
      <c r="F24" s="7" t="s">
        <v>212</v>
      </c>
      <c r="G24" s="7" t="s">
        <v>22</v>
      </c>
      <c r="H24" s="7" t="s">
        <v>212</v>
      </c>
      <c r="I24" s="7" t="s">
        <v>213</v>
      </c>
      <c r="J24" s="7"/>
      <c r="K24" s="7" t="s">
        <v>214</v>
      </c>
      <c r="L24" s="7"/>
      <c r="M24" s="7"/>
      <c r="N24" s="7"/>
      <c r="O24" s="7"/>
      <c r="P24" s="7"/>
      <c r="Q24" s="7"/>
      <c r="R24" s="7"/>
      <c r="S24" s="7" t="s">
        <v>215</v>
      </c>
      <c r="T24" s="7" t="s">
        <v>216</v>
      </c>
      <c r="U24" s="7"/>
      <c r="V24" s="7"/>
    </row>
    <row r="25" spans="1:22" ht="195">
      <c r="A25" s="7" t="s">
        <v>217</v>
      </c>
      <c r="B25" s="7"/>
      <c r="C25" s="7" t="s">
        <v>18</v>
      </c>
      <c r="D25" s="7" t="s">
        <v>218</v>
      </c>
      <c r="E25" s="7" t="s">
        <v>43</v>
      </c>
      <c r="F25" s="7" t="s">
        <v>219</v>
      </c>
      <c r="G25" s="7" t="s">
        <v>22</v>
      </c>
      <c r="H25" s="7" t="s">
        <v>219</v>
      </c>
      <c r="I25" s="7" t="s">
        <v>220</v>
      </c>
      <c r="J25" s="7"/>
      <c r="K25" s="7" t="s">
        <v>221</v>
      </c>
      <c r="L25" s="7"/>
      <c r="M25" s="7" t="s">
        <v>222</v>
      </c>
      <c r="N25" s="7"/>
      <c r="O25" s="7" t="s">
        <v>223</v>
      </c>
      <c r="P25" s="7"/>
      <c r="Q25" s="8" t="s">
        <v>224</v>
      </c>
      <c r="R25" s="7"/>
      <c r="S25" s="7"/>
      <c r="T25" s="7"/>
      <c r="U25" s="7"/>
      <c r="V25" s="7"/>
    </row>
    <row r="26" spans="1:22" ht="345">
      <c r="A26" s="7" t="s">
        <v>225</v>
      </c>
      <c r="B26" s="7"/>
      <c r="C26" s="7" t="s">
        <v>18</v>
      </c>
      <c r="D26" s="7" t="s">
        <v>226</v>
      </c>
      <c r="E26" s="7" t="s">
        <v>20</v>
      </c>
      <c r="F26" s="7" t="s">
        <v>69</v>
      </c>
      <c r="G26" s="7" t="s">
        <v>22</v>
      </c>
      <c r="H26" s="7" t="s">
        <v>69</v>
      </c>
      <c r="I26" s="7" t="s">
        <v>227</v>
      </c>
      <c r="J26" s="7"/>
      <c r="K26" s="7" t="s">
        <v>228</v>
      </c>
      <c r="L26" s="7"/>
      <c r="M26" s="7" t="s">
        <v>229</v>
      </c>
      <c r="N26" s="7"/>
      <c r="O26" s="7" t="s">
        <v>230</v>
      </c>
      <c r="P26" s="7"/>
      <c r="Q26" s="8" t="s">
        <v>231</v>
      </c>
      <c r="R26" s="7"/>
      <c r="S26" s="7" t="s">
        <v>75</v>
      </c>
      <c r="T26" s="7" t="s">
        <v>76</v>
      </c>
      <c r="U26" s="7"/>
      <c r="V26" s="7"/>
    </row>
    <row r="27" spans="1:22" ht="270">
      <c r="A27" s="7" t="s">
        <v>232</v>
      </c>
      <c r="B27" s="7"/>
      <c r="C27" s="7" t="s">
        <v>18</v>
      </c>
      <c r="D27" s="7" t="s">
        <v>184</v>
      </c>
      <c r="E27" s="7" t="s">
        <v>185</v>
      </c>
      <c r="F27" s="7" t="s">
        <v>186</v>
      </c>
      <c r="G27" s="7" t="s">
        <v>22</v>
      </c>
      <c r="H27" s="7" t="s">
        <v>186</v>
      </c>
      <c r="I27" s="7" t="s">
        <v>187</v>
      </c>
      <c r="J27" s="7"/>
      <c r="K27" s="7" t="s">
        <v>188</v>
      </c>
      <c r="L27" s="7"/>
      <c r="M27" s="7" t="s">
        <v>189</v>
      </c>
      <c r="N27" s="7"/>
      <c r="O27" s="7" t="s">
        <v>190</v>
      </c>
      <c r="P27" s="7"/>
      <c r="Q27" s="7" t="s">
        <v>191</v>
      </c>
      <c r="R27" s="7"/>
      <c r="S27" s="7" t="s">
        <v>192</v>
      </c>
      <c r="T27" s="7" t="s">
        <v>193</v>
      </c>
      <c r="U27" s="7"/>
      <c r="V27" s="7"/>
    </row>
    <row r="28" spans="1:22" ht="88.5" customHeight="1">
      <c r="A28" s="7" t="s">
        <v>233</v>
      </c>
      <c r="B28" s="7"/>
      <c r="C28" s="7" t="s">
        <v>18</v>
      </c>
      <c r="D28" s="7" t="s">
        <v>142</v>
      </c>
      <c r="E28" s="7" t="s">
        <v>20</v>
      </c>
      <c r="F28" s="7" t="s">
        <v>21</v>
      </c>
      <c r="G28" s="7" t="s">
        <v>22</v>
      </c>
      <c r="H28" s="7" t="s">
        <v>21</v>
      </c>
      <c r="I28" s="7" t="s">
        <v>234</v>
      </c>
      <c r="J28" s="7"/>
      <c r="K28" s="7" t="s">
        <v>235</v>
      </c>
      <c r="L28" s="7"/>
      <c r="M28" s="7" t="s">
        <v>236</v>
      </c>
      <c r="N28" s="7"/>
      <c r="O28" s="7" t="s">
        <v>237</v>
      </c>
      <c r="P28" s="7"/>
      <c r="Q28" s="8" t="s">
        <v>238</v>
      </c>
      <c r="R28" s="7"/>
      <c r="S28" s="7" t="s">
        <v>28</v>
      </c>
      <c r="T28" s="7" t="s">
        <v>29</v>
      </c>
      <c r="U28" s="7"/>
      <c r="V28" s="7"/>
    </row>
    <row r="29" spans="1:22" ht="409.5">
      <c r="A29" s="7" t="s">
        <v>239</v>
      </c>
      <c r="B29" s="7"/>
      <c r="C29" s="7" t="s">
        <v>18</v>
      </c>
      <c r="D29" s="7" t="s">
        <v>240</v>
      </c>
      <c r="E29" s="7" t="s">
        <v>32</v>
      </c>
      <c r="F29" s="7" t="s">
        <v>241</v>
      </c>
      <c r="G29" s="7" t="s">
        <v>22</v>
      </c>
      <c r="H29" s="7" t="s">
        <v>241</v>
      </c>
      <c r="I29" s="7" t="s">
        <v>242</v>
      </c>
      <c r="J29" s="7"/>
      <c r="K29" s="7" t="s">
        <v>243</v>
      </c>
      <c r="L29" s="7"/>
      <c r="M29" s="7" t="s">
        <v>244</v>
      </c>
      <c r="N29" s="7"/>
      <c r="O29" s="7" t="s">
        <v>245</v>
      </c>
      <c r="P29" s="7"/>
      <c r="Q29" s="7" t="s">
        <v>246</v>
      </c>
      <c r="R29" s="7"/>
      <c r="S29" s="7" t="s">
        <v>247</v>
      </c>
      <c r="T29" s="7" t="s">
        <v>248</v>
      </c>
      <c r="U29" s="7"/>
      <c r="V29" s="7"/>
    </row>
    <row r="30" spans="1:22" ht="295.5" customHeight="1">
      <c r="A30" s="7" t="s">
        <v>249</v>
      </c>
      <c r="B30" s="7"/>
      <c r="C30" s="7" t="s">
        <v>18</v>
      </c>
      <c r="D30" s="7" t="s">
        <v>250</v>
      </c>
      <c r="E30" s="7" t="s">
        <v>20</v>
      </c>
      <c r="F30" s="7" t="s">
        <v>251</v>
      </c>
      <c r="G30" s="7" t="s">
        <v>22</v>
      </c>
      <c r="H30" s="7" t="s">
        <v>251</v>
      </c>
      <c r="I30" s="7" t="s">
        <v>252</v>
      </c>
      <c r="J30" s="7"/>
      <c r="K30" s="7" t="s">
        <v>253</v>
      </c>
      <c r="L30" s="7"/>
      <c r="M30" s="7" t="s">
        <v>254</v>
      </c>
      <c r="N30" s="7"/>
      <c r="O30" s="7" t="s">
        <v>255</v>
      </c>
      <c r="P30" s="7"/>
      <c r="Q30" s="8" t="s">
        <v>256</v>
      </c>
      <c r="R30" s="7"/>
      <c r="S30" s="7" t="s">
        <v>103</v>
      </c>
      <c r="T30" s="7"/>
      <c r="U30" s="7"/>
      <c r="V30" s="7"/>
    </row>
    <row r="31" spans="1:22" ht="270">
      <c r="A31" s="7" t="s">
        <v>257</v>
      </c>
      <c r="B31" s="7"/>
      <c r="C31" s="7" t="s">
        <v>18</v>
      </c>
      <c r="D31" s="7" t="s">
        <v>258</v>
      </c>
      <c r="E31" s="7" t="s">
        <v>32</v>
      </c>
      <c r="F31" s="7" t="s">
        <v>259</v>
      </c>
      <c r="G31" s="7" t="s">
        <v>22</v>
      </c>
      <c r="H31" s="7" t="s">
        <v>259</v>
      </c>
      <c r="I31" s="7" t="s">
        <v>260</v>
      </c>
      <c r="J31" s="7"/>
      <c r="K31" s="7" t="s">
        <v>261</v>
      </c>
      <c r="L31" s="7"/>
      <c r="M31" s="8" t="s">
        <v>262</v>
      </c>
      <c r="N31" s="7"/>
      <c r="O31" s="10"/>
      <c r="P31" s="7"/>
      <c r="Q31" s="7"/>
      <c r="R31" s="7"/>
      <c r="S31" s="7"/>
      <c r="T31" s="7"/>
      <c r="U31" s="7"/>
      <c r="V31" s="7"/>
    </row>
    <row r="32" spans="1:22" ht="205.5" customHeight="1">
      <c r="A32" s="7" t="s">
        <v>263</v>
      </c>
      <c r="B32" s="7"/>
      <c r="C32" s="7" t="s">
        <v>18</v>
      </c>
      <c r="D32" s="7" t="s">
        <v>264</v>
      </c>
      <c r="E32" s="7" t="s">
        <v>86</v>
      </c>
      <c r="F32" s="7" t="s">
        <v>265</v>
      </c>
      <c r="G32" s="7" t="s">
        <v>22</v>
      </c>
      <c r="H32" s="7" t="s">
        <v>265</v>
      </c>
      <c r="I32" s="7" t="s">
        <v>266</v>
      </c>
      <c r="J32" s="7"/>
      <c r="K32" s="7" t="s">
        <v>267</v>
      </c>
      <c r="L32" s="7"/>
      <c r="M32" s="7" t="s">
        <v>268</v>
      </c>
      <c r="N32" s="7"/>
      <c r="O32" s="7" t="s">
        <v>269</v>
      </c>
      <c r="P32" s="7"/>
      <c r="Q32" s="7" t="s">
        <v>270</v>
      </c>
      <c r="R32" s="7"/>
      <c r="S32" s="7" t="s">
        <v>271</v>
      </c>
      <c r="T32" s="7" t="s">
        <v>272</v>
      </c>
      <c r="U32" s="7"/>
      <c r="V32" s="7"/>
    </row>
    <row r="33" spans="1:22" ht="409.5">
      <c r="A33" s="7" t="s">
        <v>273</v>
      </c>
      <c r="B33" s="7"/>
      <c r="C33" s="7" t="s">
        <v>18</v>
      </c>
      <c r="D33" s="7" t="s">
        <v>274</v>
      </c>
      <c r="E33" s="7" t="s">
        <v>32</v>
      </c>
      <c r="F33" s="7" t="s">
        <v>275</v>
      </c>
      <c r="G33" s="7" t="s">
        <v>22</v>
      </c>
      <c r="H33" s="7" t="s">
        <v>275</v>
      </c>
      <c r="I33" s="7" t="s">
        <v>276</v>
      </c>
      <c r="J33" s="7"/>
      <c r="K33" s="7" t="s">
        <v>277</v>
      </c>
      <c r="L33" s="7"/>
      <c r="M33" s="7" t="s">
        <v>278</v>
      </c>
      <c r="N33" s="7"/>
      <c r="O33" s="7" t="s">
        <v>279</v>
      </c>
      <c r="P33" s="7"/>
      <c r="Q33" s="7" t="s">
        <v>280</v>
      </c>
      <c r="R33" s="7"/>
      <c r="S33" s="7" t="s">
        <v>156</v>
      </c>
      <c r="T33" s="7" t="s">
        <v>157</v>
      </c>
      <c r="U33" s="7"/>
      <c r="V33" s="7"/>
    </row>
    <row r="34" spans="1:22" ht="405">
      <c r="A34" s="7" t="s">
        <v>281</v>
      </c>
      <c r="B34" s="7"/>
      <c r="C34" s="7" t="s">
        <v>18</v>
      </c>
      <c r="D34" s="7" t="s">
        <v>282</v>
      </c>
      <c r="E34" s="7" t="s">
        <v>283</v>
      </c>
      <c r="F34" s="7" t="s">
        <v>284</v>
      </c>
      <c r="G34" s="7" t="s">
        <v>22</v>
      </c>
      <c r="H34" s="7" t="s">
        <v>284</v>
      </c>
      <c r="I34" s="7" t="s">
        <v>285</v>
      </c>
      <c r="J34" s="7"/>
      <c r="K34" s="7" t="s">
        <v>286</v>
      </c>
      <c r="L34" s="7"/>
      <c r="M34" s="7" t="s">
        <v>287</v>
      </c>
      <c r="N34" s="7"/>
      <c r="O34" s="7" t="s">
        <v>288</v>
      </c>
      <c r="P34" s="7"/>
      <c r="Q34" s="7" t="s">
        <v>289</v>
      </c>
      <c r="R34" s="7"/>
      <c r="S34" s="7" t="s">
        <v>290</v>
      </c>
      <c r="T34" s="7" t="s">
        <v>291</v>
      </c>
      <c r="U34" s="7"/>
      <c r="V34" s="7"/>
    </row>
    <row r="35" spans="1:22" ht="249" customHeight="1">
      <c r="A35" s="7" t="s">
        <v>292</v>
      </c>
      <c r="B35" s="7"/>
      <c r="C35" s="7" t="s">
        <v>18</v>
      </c>
      <c r="D35" s="7" t="s">
        <v>293</v>
      </c>
      <c r="E35" s="7" t="s">
        <v>86</v>
      </c>
      <c r="F35" s="7" t="s">
        <v>160</v>
      </c>
      <c r="G35" s="7" t="s">
        <v>22</v>
      </c>
      <c r="H35" s="7" t="s">
        <v>160</v>
      </c>
      <c r="I35" s="7" t="s">
        <v>294</v>
      </c>
      <c r="J35" s="7"/>
      <c r="K35" s="7" t="s">
        <v>295</v>
      </c>
      <c r="L35" s="7"/>
      <c r="M35" s="7" t="s">
        <v>296</v>
      </c>
      <c r="N35" s="7"/>
      <c r="O35" s="7" t="s">
        <v>297</v>
      </c>
      <c r="P35" s="7"/>
      <c r="Q35" s="8" t="s">
        <v>298</v>
      </c>
      <c r="R35" s="7"/>
      <c r="S35" s="7" t="s">
        <v>166</v>
      </c>
      <c r="T35" s="7" t="s">
        <v>167</v>
      </c>
      <c r="U35" s="7"/>
      <c r="V35" s="7"/>
    </row>
    <row r="36" spans="1:22" ht="255">
      <c r="A36" s="7" t="s">
        <v>299</v>
      </c>
      <c r="B36" s="7"/>
      <c r="C36" s="7" t="s">
        <v>18</v>
      </c>
      <c r="D36" s="7" t="s">
        <v>300</v>
      </c>
      <c r="E36" s="7" t="s">
        <v>20</v>
      </c>
      <c r="F36" s="7" t="s">
        <v>251</v>
      </c>
      <c r="G36" s="7" t="s">
        <v>22</v>
      </c>
      <c r="H36" s="7" t="s">
        <v>251</v>
      </c>
      <c r="I36" s="7" t="s">
        <v>301</v>
      </c>
      <c r="J36" s="7"/>
      <c r="K36" s="7" t="s">
        <v>302</v>
      </c>
      <c r="L36" s="7"/>
      <c r="M36" s="7" t="s">
        <v>303</v>
      </c>
      <c r="N36" s="7"/>
      <c r="O36" s="7" t="s">
        <v>304</v>
      </c>
      <c r="P36" s="7"/>
      <c r="Q36" s="8" t="s">
        <v>305</v>
      </c>
      <c r="R36" s="7"/>
      <c r="S36" s="7" t="s">
        <v>75</v>
      </c>
      <c r="T36" s="7" t="s">
        <v>76</v>
      </c>
      <c r="U36" s="7"/>
      <c r="V36" s="7"/>
    </row>
    <row r="37" spans="1:22" ht="345">
      <c r="A37" s="7" t="s">
        <v>306</v>
      </c>
      <c r="B37" s="7"/>
      <c r="C37" s="7" t="s">
        <v>18</v>
      </c>
      <c r="D37" s="7" t="s">
        <v>307</v>
      </c>
      <c r="E37" s="7" t="s">
        <v>43</v>
      </c>
      <c r="F37" s="7" t="s">
        <v>52</v>
      </c>
      <c r="G37" s="7" t="s">
        <v>22</v>
      </c>
      <c r="H37" s="7" t="s">
        <v>52</v>
      </c>
      <c r="I37" s="7" t="s">
        <v>308</v>
      </c>
      <c r="J37" s="7"/>
      <c r="K37" s="7" t="s">
        <v>309</v>
      </c>
      <c r="L37" s="7"/>
      <c r="M37" s="7" t="s">
        <v>310</v>
      </c>
      <c r="N37" s="7"/>
      <c r="O37" s="7" t="s">
        <v>311</v>
      </c>
      <c r="P37" s="7"/>
      <c r="Q37" s="8" t="s">
        <v>312</v>
      </c>
      <c r="R37" s="7"/>
      <c r="S37" s="7" t="s">
        <v>313</v>
      </c>
      <c r="T37" s="7" t="s">
        <v>314</v>
      </c>
      <c r="U37" s="7"/>
      <c r="V37" s="7"/>
    </row>
    <row r="38" spans="1:22" ht="135">
      <c r="A38" s="7" t="s">
        <v>315</v>
      </c>
      <c r="B38" s="7"/>
      <c r="C38" s="7" t="s">
        <v>18</v>
      </c>
      <c r="D38" s="7" t="s">
        <v>316</v>
      </c>
      <c r="E38" s="7" t="s">
        <v>20</v>
      </c>
      <c r="F38" s="7" t="s">
        <v>79</v>
      </c>
      <c r="G38" s="7" t="s">
        <v>22</v>
      </c>
      <c r="H38" s="7" t="s">
        <v>79</v>
      </c>
      <c r="I38" s="7" t="s">
        <v>317</v>
      </c>
      <c r="J38" s="7"/>
      <c r="K38" s="7" t="s">
        <v>318</v>
      </c>
      <c r="L38" s="7"/>
      <c r="M38" s="7" t="s">
        <v>319</v>
      </c>
      <c r="N38" s="7"/>
      <c r="O38" s="7" t="s">
        <v>320</v>
      </c>
      <c r="P38" s="7"/>
      <c r="Q38" s="7"/>
      <c r="R38" s="7"/>
      <c r="S38" s="7"/>
      <c r="T38" s="7"/>
      <c r="U38" s="7"/>
      <c r="V38" s="7"/>
    </row>
    <row r="39" spans="1:22" ht="15">
      <c r="A39" s="7"/>
      <c r="B39" s="7"/>
      <c r="C39" s="7"/>
      <c r="D39" s="7"/>
      <c r="E39" s="7"/>
      <c r="F39" s="7"/>
      <c r="G39" s="7"/>
      <c r="H39" s="7"/>
      <c r="I39" s="7"/>
      <c r="J39" s="7"/>
      <c r="K39" s="7"/>
      <c r="L39" s="7"/>
      <c r="M39" s="7"/>
      <c r="N39" s="7"/>
      <c r="O39" s="7"/>
      <c r="P39" s="7"/>
      <c r="Q39" s="7"/>
      <c r="R39" s="7"/>
      <c r="S39" s="7"/>
      <c r="T39" s="7"/>
      <c r="U39" s="7"/>
      <c r="V39" s="7"/>
    </row>
    <row r="40" spans="1:22" ht="15">
      <c r="A40" s="7"/>
      <c r="B40" s="7"/>
      <c r="C40" s="7"/>
      <c r="D40" s="7"/>
      <c r="E40" s="7"/>
      <c r="F40" s="7"/>
      <c r="G40" s="7"/>
      <c r="H40" s="7"/>
      <c r="I40" s="7"/>
      <c r="J40" s="7"/>
      <c r="K40" s="7"/>
      <c r="L40" s="7"/>
      <c r="M40" s="7"/>
      <c r="N40" s="7"/>
      <c r="O40" s="7"/>
      <c r="P40" s="7"/>
      <c r="Q40" s="7"/>
      <c r="R40" s="7"/>
      <c r="S40" s="7"/>
      <c r="T40" s="7"/>
      <c r="U40" s="7"/>
      <c r="V40" s="7"/>
    </row>
    <row r="41" spans="1:22" ht="15">
      <c r="A41" s="7"/>
      <c r="B41" s="7"/>
      <c r="C41" s="7"/>
      <c r="D41" s="7"/>
      <c r="E41" s="7"/>
      <c r="F41" s="7"/>
      <c r="G41" s="7"/>
      <c r="H41" s="7"/>
      <c r="I41" s="7"/>
      <c r="J41" s="7"/>
      <c r="K41" s="7"/>
      <c r="L41" s="7"/>
      <c r="M41" s="7"/>
      <c r="N41" s="7"/>
      <c r="O41" s="7"/>
      <c r="P41" s="7"/>
      <c r="Q41" s="7"/>
      <c r="R41" s="7"/>
      <c r="S41" s="7"/>
      <c r="T41" s="7"/>
      <c r="U41" s="7"/>
      <c r="V41" s="7"/>
    </row>
    <row r="42" spans="1:22" ht="15">
      <c r="A42" s="7"/>
      <c r="B42" s="7"/>
      <c r="C42" s="7"/>
      <c r="D42" s="7"/>
      <c r="E42" s="7"/>
      <c r="F42" s="7"/>
      <c r="G42" s="7"/>
      <c r="H42" s="7"/>
      <c r="I42" s="7"/>
      <c r="J42" s="7"/>
      <c r="K42" s="7"/>
      <c r="L42" s="7"/>
      <c r="M42" s="7"/>
      <c r="N42" s="7"/>
      <c r="O42" s="7"/>
      <c r="P42" s="7"/>
      <c r="Q42" s="7"/>
      <c r="R42" s="7"/>
      <c r="S42" s="7"/>
      <c r="T42" s="7"/>
      <c r="U42" s="7"/>
      <c r="V42" s="7"/>
    </row>
    <row r="43" spans="1:22" ht="15">
      <c r="A43" s="7"/>
      <c r="B43" s="7"/>
      <c r="C43" s="7"/>
      <c r="D43" s="7"/>
      <c r="E43" s="7"/>
      <c r="F43" s="7"/>
      <c r="G43" s="7"/>
      <c r="H43" s="7"/>
      <c r="I43" s="7"/>
      <c r="J43" s="7"/>
      <c r="K43" s="7"/>
      <c r="L43" s="7"/>
      <c r="M43" s="7"/>
      <c r="N43" s="7"/>
      <c r="O43" s="7"/>
      <c r="P43" s="7"/>
      <c r="Q43" s="7"/>
      <c r="R43" s="7"/>
      <c r="S43" s="7"/>
      <c r="T43" s="7"/>
      <c r="U43" s="7"/>
      <c r="V43" s="7"/>
    </row>
    <row r="44" spans="1:22" ht="15">
      <c r="A44" s="7"/>
      <c r="B44" s="7"/>
      <c r="C44" s="7"/>
      <c r="D44" s="7"/>
      <c r="E44" s="7"/>
      <c r="F44" s="7"/>
      <c r="G44" s="7"/>
      <c r="H44" s="7"/>
      <c r="I44" s="7"/>
      <c r="J44" s="7"/>
      <c r="K44" s="7"/>
      <c r="L44" s="7"/>
      <c r="M44" s="7"/>
      <c r="N44" s="7"/>
      <c r="O44" s="7"/>
      <c r="P44" s="7"/>
      <c r="Q44" s="7"/>
      <c r="R44" s="7"/>
      <c r="S44" s="7"/>
      <c r="T44" s="7"/>
      <c r="U44" s="7"/>
      <c r="V44" s="7"/>
    </row>
    <row r="45" spans="1:22" ht="15">
      <c r="A45" s="7"/>
      <c r="B45" s="7"/>
      <c r="C45" s="7"/>
      <c r="D45" s="7"/>
      <c r="E45" s="7"/>
      <c r="F45" s="7"/>
      <c r="G45" s="7"/>
      <c r="H45" s="7"/>
      <c r="I45" s="7"/>
      <c r="J45" s="7"/>
      <c r="K45" s="7"/>
      <c r="L45" s="7"/>
      <c r="M45" s="7"/>
      <c r="N45" s="7"/>
      <c r="O45" s="7"/>
      <c r="P45" s="7"/>
      <c r="Q45" s="7"/>
      <c r="R45" s="7"/>
      <c r="S45" s="7"/>
      <c r="T45" s="7"/>
      <c r="U45" s="7"/>
      <c r="V45" s="7"/>
    </row>
    <row r="46" spans="1:22" ht="15">
      <c r="A46" s="7"/>
      <c r="B46" s="7"/>
      <c r="C46" s="7"/>
      <c r="D46" s="7"/>
      <c r="E46" s="7"/>
      <c r="F46" s="7"/>
      <c r="G46" s="7"/>
      <c r="H46" s="7"/>
      <c r="I46" s="7"/>
      <c r="J46" s="7"/>
      <c r="K46" s="7"/>
      <c r="L46" s="7"/>
      <c r="M46" s="7"/>
      <c r="N46" s="7"/>
      <c r="O46" s="7"/>
      <c r="P46" s="7"/>
      <c r="Q46" s="7"/>
      <c r="R46" s="7"/>
      <c r="S46" s="7"/>
      <c r="T46" s="7"/>
      <c r="U46" s="7"/>
      <c r="V46" s="7"/>
    </row>
    <row r="47" spans="1:22" ht="15">
      <c r="A47" s="7"/>
      <c r="B47" s="7"/>
      <c r="C47" s="7"/>
      <c r="D47" s="7"/>
      <c r="E47" s="7"/>
      <c r="F47" s="7"/>
      <c r="G47" s="7"/>
      <c r="H47" s="7"/>
      <c r="I47" s="7"/>
      <c r="J47" s="7"/>
      <c r="K47" s="7"/>
      <c r="L47" s="7"/>
      <c r="M47" s="7"/>
      <c r="N47" s="7"/>
      <c r="O47" s="7"/>
      <c r="P47" s="7"/>
      <c r="Q47" s="7"/>
      <c r="R47" s="7"/>
      <c r="S47" s="7"/>
      <c r="T47" s="7"/>
      <c r="U47" s="7"/>
      <c r="V47" s="7"/>
    </row>
    <row r="48" spans="1:22" ht="15">
      <c r="A48" s="7"/>
      <c r="B48" s="7"/>
      <c r="C48" s="7"/>
      <c r="D48" s="7"/>
      <c r="E48" s="7"/>
      <c r="F48" s="7"/>
      <c r="G48" s="7"/>
      <c r="H48" s="7"/>
      <c r="I48" s="7"/>
      <c r="J48" s="7"/>
      <c r="K48" s="7"/>
      <c r="L48" s="7"/>
      <c r="M48" s="7"/>
      <c r="N48" s="7"/>
      <c r="O48" s="7"/>
      <c r="P48" s="7"/>
      <c r="Q48" s="7"/>
      <c r="R48" s="7"/>
      <c r="S48" s="7"/>
      <c r="T48" s="7"/>
      <c r="U48" s="7"/>
      <c r="V48" s="7"/>
    </row>
    <row r="49" spans="1:22" ht="15">
      <c r="A49" s="7"/>
      <c r="B49" s="7"/>
      <c r="C49" s="7"/>
      <c r="D49" s="7"/>
      <c r="E49" s="7"/>
      <c r="F49" s="7"/>
      <c r="G49" s="7"/>
      <c r="H49" s="7"/>
      <c r="I49" s="7"/>
      <c r="J49" s="7"/>
      <c r="K49" s="7"/>
      <c r="L49" s="7"/>
      <c r="M49" s="7"/>
      <c r="N49" s="7"/>
      <c r="O49" s="7"/>
      <c r="P49" s="7"/>
      <c r="Q49" s="7"/>
      <c r="R49" s="7"/>
      <c r="S49" s="7"/>
      <c r="T49" s="7"/>
      <c r="U49" s="7"/>
      <c r="V49" s="7"/>
    </row>
    <row r="50" spans="1:22" ht="15">
      <c r="A50" s="7"/>
      <c r="B50" s="7"/>
      <c r="C50" s="7"/>
      <c r="D50" s="7"/>
      <c r="E50" s="7"/>
      <c r="F50" s="7"/>
      <c r="G50" s="7"/>
      <c r="H50" s="7"/>
      <c r="I50" s="7"/>
      <c r="J50" s="7"/>
      <c r="K50" s="7"/>
      <c r="L50" s="7"/>
      <c r="M50" s="7"/>
      <c r="N50" s="7"/>
      <c r="O50" s="7"/>
      <c r="P50" s="7"/>
      <c r="Q50" s="7"/>
      <c r="R50" s="7"/>
      <c r="S50" s="7"/>
      <c r="T50" s="7"/>
      <c r="U50" s="7"/>
      <c r="V50" s="7"/>
    </row>
    <row r="51" spans="1:22" ht="15">
      <c r="A51" s="7"/>
      <c r="B51" s="7"/>
      <c r="C51" s="7"/>
      <c r="D51" s="7"/>
      <c r="E51" s="7"/>
      <c r="F51" s="7"/>
      <c r="G51" s="7"/>
      <c r="H51" s="7"/>
      <c r="I51" s="7"/>
      <c r="J51" s="7"/>
      <c r="K51" s="7"/>
      <c r="L51" s="7"/>
      <c r="M51" s="7"/>
      <c r="N51" s="7"/>
      <c r="O51" s="7"/>
      <c r="P51" s="7"/>
      <c r="Q51" s="7"/>
      <c r="R51" s="7"/>
      <c r="S51" s="7"/>
      <c r="T51" s="7"/>
      <c r="U51" s="7"/>
      <c r="V51" s="7"/>
    </row>
    <row r="52" spans="1:22" ht="15">
      <c r="A52" s="7"/>
      <c r="B52" s="7"/>
      <c r="C52" s="7"/>
      <c r="D52" s="7"/>
      <c r="E52" s="7"/>
      <c r="F52" s="7"/>
      <c r="G52" s="7"/>
      <c r="H52" s="7"/>
      <c r="I52" s="7"/>
      <c r="J52" s="7"/>
      <c r="K52" s="7"/>
      <c r="L52" s="7"/>
      <c r="M52" s="7"/>
      <c r="N52" s="7"/>
      <c r="O52" s="7"/>
      <c r="P52" s="7"/>
      <c r="Q52" s="7"/>
      <c r="R52" s="7"/>
      <c r="S52" s="7"/>
      <c r="T52" s="7"/>
      <c r="U52" s="7"/>
      <c r="V52" s="7"/>
    </row>
    <row r="53" spans="1:22" ht="15">
      <c r="A53" s="7"/>
      <c r="B53" s="7"/>
      <c r="C53" s="7"/>
      <c r="D53" s="7"/>
      <c r="E53" s="7"/>
      <c r="F53" s="7"/>
      <c r="G53" s="7"/>
      <c r="H53" s="7"/>
      <c r="I53" s="7"/>
      <c r="J53" s="7"/>
      <c r="K53" s="7"/>
      <c r="L53" s="7"/>
      <c r="M53" s="7"/>
      <c r="N53" s="7"/>
      <c r="O53" s="7"/>
      <c r="P53" s="7"/>
      <c r="Q53" s="7"/>
      <c r="R53" s="7"/>
      <c r="S53" s="7"/>
      <c r="T53" s="7"/>
      <c r="U53" s="7"/>
      <c r="V53" s="7"/>
    </row>
    <row r="54" spans="1:22" ht="15">
      <c r="A54" s="7"/>
      <c r="B54" s="7"/>
      <c r="C54" s="7"/>
      <c r="D54" s="7"/>
      <c r="E54" s="7"/>
      <c r="F54" s="7"/>
      <c r="G54" s="7"/>
      <c r="H54" s="7"/>
      <c r="I54" s="7"/>
      <c r="J54" s="7"/>
      <c r="K54" s="7"/>
      <c r="L54" s="7"/>
      <c r="M54" s="7"/>
      <c r="N54" s="7"/>
      <c r="O54" s="7"/>
      <c r="P54" s="7"/>
      <c r="Q54" s="7"/>
      <c r="R54" s="7"/>
      <c r="S54" s="7"/>
      <c r="T54" s="7"/>
      <c r="U54" s="7"/>
      <c r="V54" s="7"/>
    </row>
    <row r="55" spans="1:22" ht="15">
      <c r="A55" s="7"/>
      <c r="B55" s="7"/>
      <c r="C55" s="7"/>
      <c r="D55" s="7"/>
      <c r="E55" s="7"/>
      <c r="F55" s="7"/>
      <c r="G55" s="7"/>
      <c r="H55" s="7"/>
      <c r="I55" s="7"/>
      <c r="J55" s="7"/>
      <c r="K55" s="7"/>
      <c r="L55" s="7"/>
      <c r="M55" s="7"/>
      <c r="N55" s="7"/>
      <c r="O55" s="7"/>
      <c r="P55" s="7"/>
      <c r="Q55" s="7"/>
      <c r="R55" s="7"/>
      <c r="S55" s="7"/>
      <c r="T55" s="7"/>
      <c r="U55" s="7"/>
      <c r="V55" s="7"/>
    </row>
    <row r="56" spans="1:22" ht="15">
      <c r="A56" s="7"/>
      <c r="B56" s="7"/>
      <c r="C56" s="7"/>
      <c r="D56" s="7"/>
      <c r="E56" s="7"/>
      <c r="F56" s="7"/>
      <c r="G56" s="7"/>
      <c r="H56" s="7"/>
      <c r="I56" s="7"/>
      <c r="J56" s="7"/>
      <c r="K56" s="7"/>
      <c r="L56" s="7"/>
      <c r="M56" s="7"/>
      <c r="N56" s="7"/>
      <c r="O56" s="7"/>
      <c r="P56" s="7"/>
      <c r="Q56" s="7"/>
      <c r="R56" s="7"/>
      <c r="S56" s="7"/>
      <c r="T56" s="7"/>
      <c r="U56" s="7"/>
      <c r="V56" s="7"/>
    </row>
    <row r="57" spans="1:22" ht="15">
      <c r="A57" s="7"/>
      <c r="B57" s="7"/>
      <c r="C57" s="7"/>
      <c r="D57" s="7"/>
      <c r="E57" s="7"/>
      <c r="F57" s="7"/>
      <c r="G57" s="7"/>
      <c r="H57" s="7"/>
      <c r="I57" s="7"/>
      <c r="J57" s="7"/>
      <c r="K57" s="7"/>
      <c r="L57" s="7"/>
      <c r="M57" s="7"/>
      <c r="N57" s="7"/>
      <c r="O57" s="7"/>
      <c r="P57" s="7"/>
      <c r="Q57" s="7"/>
      <c r="R57" s="7"/>
      <c r="S57" s="7"/>
      <c r="T57" s="7"/>
      <c r="U57" s="7"/>
      <c r="V57" s="7"/>
    </row>
    <row r="58" spans="1:22" ht="15">
      <c r="A58" s="7"/>
      <c r="B58" s="7"/>
      <c r="C58" s="7"/>
      <c r="D58" s="7"/>
      <c r="E58" s="7"/>
      <c r="F58" s="7"/>
      <c r="G58" s="7"/>
      <c r="H58" s="7"/>
      <c r="I58" s="7"/>
      <c r="J58" s="7"/>
      <c r="K58" s="7"/>
      <c r="L58" s="7"/>
      <c r="M58" s="7"/>
      <c r="N58" s="7"/>
      <c r="O58" s="7"/>
      <c r="P58" s="7"/>
      <c r="Q58" s="7"/>
      <c r="R58" s="7"/>
      <c r="S58" s="7"/>
      <c r="T58" s="7"/>
      <c r="U58" s="7"/>
      <c r="V58" s="7"/>
    </row>
    <row r="59" spans="1:22" ht="15">
      <c r="A59" s="7"/>
      <c r="B59" s="7"/>
      <c r="C59" s="7"/>
      <c r="D59" s="7"/>
      <c r="E59" s="7"/>
      <c r="F59" s="7"/>
      <c r="G59" s="7"/>
      <c r="H59" s="7"/>
      <c r="I59" s="7"/>
      <c r="J59" s="7"/>
      <c r="K59" s="7"/>
      <c r="L59" s="7"/>
      <c r="M59" s="7"/>
      <c r="N59" s="7"/>
      <c r="O59" s="7"/>
      <c r="P59" s="7"/>
      <c r="Q59" s="7"/>
      <c r="R59" s="7"/>
      <c r="S59" s="7"/>
      <c r="T59" s="7"/>
      <c r="U59" s="7"/>
      <c r="V59" s="7"/>
    </row>
    <row r="60" spans="1:22" ht="15">
      <c r="A60" s="7"/>
      <c r="B60" s="7"/>
      <c r="C60" s="7"/>
      <c r="D60" s="7"/>
      <c r="E60" s="7"/>
      <c r="F60" s="7"/>
      <c r="G60" s="7"/>
      <c r="H60" s="7"/>
      <c r="I60" s="7"/>
      <c r="J60" s="7"/>
      <c r="K60" s="7"/>
      <c r="L60" s="7"/>
      <c r="M60" s="7"/>
      <c r="N60" s="7"/>
      <c r="O60" s="7"/>
      <c r="P60" s="7"/>
      <c r="Q60" s="7"/>
      <c r="R60" s="7"/>
      <c r="S60" s="7"/>
      <c r="T60" s="7"/>
      <c r="U60" s="7"/>
      <c r="V60" s="7"/>
    </row>
    <row r="61" spans="1:22" ht="15">
      <c r="A61" s="7"/>
      <c r="B61" s="7"/>
      <c r="C61" s="7"/>
      <c r="D61" s="7"/>
      <c r="E61" s="7"/>
      <c r="F61" s="7"/>
      <c r="G61" s="7"/>
      <c r="H61" s="7"/>
      <c r="I61" s="7"/>
      <c r="J61" s="7"/>
      <c r="K61" s="7"/>
      <c r="L61" s="7"/>
      <c r="M61" s="7"/>
      <c r="N61" s="7"/>
      <c r="O61" s="7"/>
      <c r="P61" s="7"/>
      <c r="Q61" s="7"/>
      <c r="R61" s="7"/>
      <c r="S61" s="7"/>
      <c r="T61" s="7"/>
      <c r="U61" s="7"/>
      <c r="V61" s="7"/>
    </row>
    <row r="62" spans="1:22" ht="15">
      <c r="A62" s="7"/>
      <c r="B62" s="7"/>
      <c r="C62" s="7"/>
      <c r="D62" s="7"/>
      <c r="E62" s="7"/>
      <c r="F62" s="7"/>
      <c r="G62" s="7"/>
      <c r="H62" s="7"/>
      <c r="I62" s="7"/>
      <c r="J62" s="7"/>
      <c r="K62" s="7"/>
      <c r="L62" s="7"/>
      <c r="M62" s="7"/>
      <c r="N62" s="7"/>
      <c r="O62" s="7"/>
      <c r="P62" s="7"/>
      <c r="Q62" s="7"/>
      <c r="R62" s="7"/>
      <c r="S62" s="7"/>
      <c r="T62" s="7"/>
      <c r="U62" s="7"/>
      <c r="V62" s="7"/>
    </row>
    <row r="63" spans="1:22" ht="15">
      <c r="A63" s="7"/>
      <c r="B63" s="7"/>
      <c r="C63" s="7"/>
      <c r="D63" s="7"/>
      <c r="E63" s="7"/>
      <c r="F63" s="7"/>
      <c r="G63" s="7"/>
      <c r="H63" s="7"/>
      <c r="I63" s="7"/>
      <c r="J63" s="7"/>
      <c r="K63" s="7"/>
      <c r="L63" s="7"/>
      <c r="M63" s="7"/>
      <c r="N63" s="7"/>
      <c r="O63" s="7"/>
      <c r="P63" s="7"/>
      <c r="Q63" s="7"/>
      <c r="R63" s="7"/>
      <c r="S63" s="7"/>
      <c r="T63" s="7"/>
      <c r="U63" s="7"/>
      <c r="V63" s="7"/>
    </row>
    <row r="64" spans="1:22" ht="15">
      <c r="A64" s="7"/>
      <c r="B64" s="7"/>
      <c r="C64" s="7"/>
      <c r="D64" s="7"/>
      <c r="E64" s="7"/>
      <c r="F64" s="7"/>
      <c r="G64" s="7"/>
      <c r="H64" s="7"/>
      <c r="I64" s="7"/>
      <c r="J64" s="7"/>
      <c r="K64" s="7"/>
      <c r="L64" s="7"/>
      <c r="M64" s="7"/>
      <c r="N64" s="7"/>
      <c r="O64" s="7"/>
      <c r="P64" s="7"/>
      <c r="Q64" s="7"/>
      <c r="R64" s="7"/>
      <c r="S64" s="7"/>
      <c r="T64" s="7"/>
      <c r="U64" s="7"/>
      <c r="V64" s="7"/>
    </row>
    <row r="65" spans="1:22" ht="15">
      <c r="A65" s="7"/>
      <c r="B65" s="7"/>
      <c r="C65" s="7"/>
      <c r="D65" s="7"/>
      <c r="E65" s="7"/>
      <c r="F65" s="7"/>
      <c r="G65" s="7"/>
      <c r="H65" s="7"/>
      <c r="I65" s="7"/>
      <c r="J65" s="7"/>
      <c r="K65" s="7"/>
      <c r="L65" s="7"/>
      <c r="M65" s="7"/>
      <c r="N65" s="7"/>
      <c r="O65" s="7"/>
      <c r="P65" s="7"/>
      <c r="Q65" s="7"/>
      <c r="R65" s="7"/>
      <c r="S65" s="7"/>
      <c r="T65" s="7"/>
      <c r="U65" s="7"/>
      <c r="V65" s="7"/>
    </row>
    <row r="66" spans="1:22" ht="15">
      <c r="A66" s="7"/>
      <c r="B66" s="7"/>
      <c r="C66" s="7"/>
      <c r="D66" s="7"/>
      <c r="E66" s="7"/>
      <c r="F66" s="7"/>
      <c r="G66" s="7"/>
      <c r="H66" s="7"/>
      <c r="I66" s="7"/>
      <c r="J66" s="7"/>
      <c r="K66" s="7"/>
      <c r="L66" s="7"/>
      <c r="M66" s="7"/>
      <c r="N66" s="7"/>
      <c r="O66" s="7"/>
      <c r="P66" s="7"/>
      <c r="Q66" s="7"/>
      <c r="R66" s="7"/>
      <c r="S66" s="7"/>
      <c r="T66" s="7"/>
      <c r="U66" s="7"/>
      <c r="V66" s="7"/>
    </row>
    <row r="67" spans="1:22" ht="15">
      <c r="A67" s="7"/>
      <c r="B67" s="7"/>
      <c r="C67" s="7"/>
      <c r="D67" s="7"/>
      <c r="E67" s="7"/>
      <c r="F67" s="7"/>
      <c r="G67" s="7"/>
      <c r="H67" s="7"/>
      <c r="I67" s="7"/>
      <c r="J67" s="7"/>
      <c r="K67" s="7"/>
      <c r="L67" s="7"/>
      <c r="M67" s="7"/>
      <c r="N67" s="7"/>
      <c r="O67" s="7"/>
      <c r="P67" s="7"/>
      <c r="Q67" s="7"/>
      <c r="R67" s="7"/>
      <c r="S67" s="7"/>
      <c r="T67" s="7"/>
      <c r="U67" s="7"/>
      <c r="V67" s="7"/>
    </row>
    <row r="68" spans="1:22" ht="15">
      <c r="A68" s="7"/>
      <c r="B68" s="7"/>
      <c r="C68" s="7"/>
      <c r="D68" s="7"/>
      <c r="E68" s="7"/>
      <c r="F68" s="7"/>
      <c r="G68" s="7"/>
      <c r="H68" s="7"/>
      <c r="I68" s="7"/>
      <c r="J68" s="7"/>
      <c r="K68" s="7"/>
      <c r="L68" s="7"/>
      <c r="M68" s="7"/>
      <c r="N68" s="7"/>
      <c r="O68" s="7"/>
      <c r="P68" s="7"/>
      <c r="Q68" s="7"/>
      <c r="R68" s="7"/>
      <c r="S68" s="7"/>
      <c r="T68" s="7"/>
      <c r="U68" s="7"/>
      <c r="V68" s="7"/>
    </row>
    <row r="69" spans="1:22" ht="15">
      <c r="A69" s="7"/>
      <c r="B69" s="7"/>
      <c r="C69" s="7"/>
      <c r="D69" s="7"/>
      <c r="E69" s="7"/>
      <c r="F69" s="7"/>
      <c r="G69" s="7"/>
      <c r="H69" s="7"/>
      <c r="I69" s="7"/>
      <c r="J69" s="7"/>
      <c r="K69" s="7"/>
      <c r="L69" s="7"/>
      <c r="M69" s="7"/>
      <c r="N69" s="7"/>
      <c r="O69" s="7"/>
      <c r="P69" s="7"/>
      <c r="Q69" s="7"/>
      <c r="R69" s="7"/>
      <c r="S69" s="7"/>
      <c r="T69" s="7"/>
      <c r="U69" s="7"/>
      <c r="V69" s="7"/>
    </row>
    <row r="70" spans="1:22" ht="15">
      <c r="A70" s="7"/>
      <c r="B70" s="7"/>
      <c r="C70" s="7"/>
      <c r="D70" s="7"/>
      <c r="E70" s="7"/>
      <c r="F70" s="7"/>
      <c r="G70" s="7"/>
      <c r="H70" s="7"/>
      <c r="I70" s="7"/>
      <c r="J70" s="7"/>
      <c r="K70" s="7"/>
      <c r="L70" s="7"/>
      <c r="M70" s="7"/>
      <c r="N70" s="7"/>
      <c r="O70" s="7"/>
      <c r="P70" s="7"/>
      <c r="Q70" s="7"/>
      <c r="R70" s="7"/>
      <c r="S70" s="7"/>
      <c r="T70" s="7"/>
      <c r="U70" s="7"/>
      <c r="V70" s="7"/>
    </row>
    <row r="71" spans="1:22" ht="15">
      <c r="A71" s="7"/>
      <c r="B71" s="7"/>
      <c r="C71" s="7"/>
      <c r="D71" s="7"/>
      <c r="E71" s="7"/>
      <c r="F71" s="7"/>
      <c r="G71" s="7"/>
      <c r="H71" s="7"/>
      <c r="I71" s="7"/>
      <c r="J71" s="7"/>
      <c r="K71" s="7"/>
      <c r="L71" s="7"/>
      <c r="M71" s="7"/>
      <c r="N71" s="7"/>
      <c r="O71" s="7"/>
      <c r="P71" s="7"/>
      <c r="Q71" s="7"/>
      <c r="R71" s="7"/>
      <c r="S71" s="7"/>
      <c r="T71" s="7"/>
      <c r="U71" s="7"/>
      <c r="V71" s="7"/>
    </row>
    <row r="72" spans="1:22" ht="15">
      <c r="A72" s="7"/>
      <c r="B72" s="7"/>
      <c r="C72" s="7"/>
      <c r="D72" s="7"/>
      <c r="E72" s="7"/>
      <c r="F72" s="7"/>
      <c r="G72" s="7"/>
      <c r="H72" s="7"/>
      <c r="I72" s="7"/>
      <c r="J72" s="7"/>
      <c r="K72" s="7"/>
      <c r="L72" s="7"/>
      <c r="M72" s="7"/>
      <c r="N72" s="7"/>
      <c r="O72" s="7"/>
      <c r="P72" s="7"/>
      <c r="Q72" s="7"/>
      <c r="R72" s="7"/>
      <c r="S72" s="7"/>
      <c r="T72" s="7"/>
      <c r="U72" s="7"/>
      <c r="V72" s="7"/>
    </row>
    <row r="73" spans="1:22" ht="15">
      <c r="A73" s="7"/>
      <c r="B73" s="7"/>
      <c r="C73" s="7"/>
      <c r="D73" s="7"/>
      <c r="E73" s="7"/>
      <c r="F73" s="7"/>
      <c r="G73" s="7"/>
      <c r="H73" s="7"/>
      <c r="I73" s="7"/>
      <c r="J73" s="7"/>
      <c r="K73" s="7"/>
      <c r="L73" s="7"/>
      <c r="M73" s="7"/>
      <c r="N73" s="7"/>
      <c r="O73" s="7"/>
      <c r="P73" s="7"/>
      <c r="Q73" s="7"/>
      <c r="R73" s="7"/>
      <c r="S73" s="7"/>
      <c r="T73" s="7"/>
      <c r="U73" s="7"/>
      <c r="V73" s="7"/>
    </row>
    <row r="74" spans="1:22" ht="15">
      <c r="A74" s="7"/>
      <c r="B74" s="7"/>
      <c r="C74" s="7"/>
      <c r="D74" s="7"/>
      <c r="E74" s="7"/>
      <c r="F74" s="7"/>
      <c r="G74" s="7"/>
      <c r="H74" s="7"/>
      <c r="I74" s="7"/>
      <c r="J74" s="7"/>
      <c r="K74" s="7"/>
      <c r="L74" s="7"/>
      <c r="M74" s="7"/>
      <c r="N74" s="7"/>
      <c r="O74" s="7"/>
      <c r="P74" s="7"/>
      <c r="Q74" s="7"/>
      <c r="R74" s="7"/>
      <c r="S74" s="7"/>
      <c r="T74" s="7"/>
      <c r="U74" s="7"/>
      <c r="V74" s="7"/>
    </row>
    <row r="75" spans="1:22" ht="15">
      <c r="A75" s="7"/>
      <c r="B75" s="7"/>
      <c r="C75" s="7"/>
      <c r="D75" s="7"/>
      <c r="E75" s="7"/>
      <c r="F75" s="7"/>
      <c r="G75" s="7"/>
      <c r="H75" s="7"/>
      <c r="I75" s="7"/>
      <c r="J75" s="7"/>
      <c r="K75" s="7"/>
      <c r="L75" s="7"/>
      <c r="M75" s="7"/>
      <c r="N75" s="7"/>
      <c r="O75" s="7"/>
      <c r="P75" s="7"/>
      <c r="Q75" s="7"/>
      <c r="R75" s="7"/>
      <c r="S75" s="7"/>
      <c r="T75" s="7"/>
      <c r="U75" s="7"/>
      <c r="V75" s="7"/>
    </row>
    <row r="76" spans="1:22" ht="15">
      <c r="A76" s="7"/>
      <c r="B76" s="7"/>
      <c r="C76" s="7"/>
      <c r="D76" s="7"/>
      <c r="E76" s="7"/>
      <c r="F76" s="7"/>
      <c r="G76" s="7"/>
      <c r="H76" s="7"/>
      <c r="I76" s="7"/>
      <c r="J76" s="7"/>
      <c r="K76" s="7"/>
      <c r="L76" s="7"/>
      <c r="M76" s="7"/>
      <c r="N76" s="7"/>
      <c r="O76" s="7"/>
      <c r="P76" s="7"/>
      <c r="Q76" s="7"/>
      <c r="R76" s="7"/>
      <c r="S76" s="7"/>
      <c r="T76" s="7"/>
      <c r="U76" s="7"/>
      <c r="V76" s="7"/>
    </row>
    <row r="77" spans="1:22" ht="15">
      <c r="A77" s="7"/>
      <c r="B77" s="7"/>
      <c r="C77" s="7"/>
      <c r="D77" s="7"/>
      <c r="E77" s="7"/>
      <c r="F77" s="7"/>
      <c r="G77" s="7"/>
      <c r="H77" s="7"/>
      <c r="I77" s="7"/>
      <c r="J77" s="7"/>
      <c r="K77" s="7"/>
      <c r="L77" s="7"/>
      <c r="M77" s="7"/>
      <c r="N77" s="7"/>
      <c r="O77" s="7"/>
      <c r="P77" s="7"/>
      <c r="Q77" s="7"/>
      <c r="R77" s="7"/>
      <c r="S77" s="7"/>
      <c r="T77" s="7"/>
      <c r="U77" s="7"/>
      <c r="V77" s="7"/>
    </row>
    <row r="78" spans="1:22" ht="15">
      <c r="A78" s="7"/>
      <c r="B78" s="7"/>
      <c r="C78" s="7"/>
      <c r="D78" s="7"/>
      <c r="E78" s="7"/>
      <c r="F78" s="7"/>
      <c r="G78" s="7"/>
      <c r="H78" s="7"/>
      <c r="I78" s="7"/>
      <c r="J78" s="7"/>
      <c r="K78" s="7"/>
      <c r="L78" s="7"/>
      <c r="M78" s="7"/>
      <c r="N78" s="7"/>
      <c r="O78" s="7"/>
      <c r="P78" s="7"/>
      <c r="Q78" s="7"/>
      <c r="R78" s="7"/>
      <c r="S78" s="7"/>
      <c r="T78" s="7"/>
      <c r="U78" s="7"/>
      <c r="V78" s="7"/>
    </row>
    <row r="79" spans="1:22" ht="15">
      <c r="A79" s="7"/>
      <c r="B79" s="7"/>
      <c r="C79" s="7"/>
      <c r="D79" s="7"/>
      <c r="E79" s="7"/>
      <c r="F79" s="7"/>
      <c r="G79" s="7"/>
      <c r="H79" s="7"/>
      <c r="I79" s="7"/>
      <c r="J79" s="7"/>
      <c r="K79" s="7"/>
      <c r="L79" s="7"/>
      <c r="M79" s="7"/>
      <c r="N79" s="7"/>
      <c r="O79" s="7"/>
      <c r="P79" s="7"/>
      <c r="Q79" s="7"/>
      <c r="R79" s="7"/>
      <c r="S79" s="7"/>
      <c r="T79" s="7"/>
      <c r="U79" s="7"/>
      <c r="V79" s="7"/>
    </row>
    <row r="80" spans="1:22" ht="15">
      <c r="A80" s="7"/>
      <c r="B80" s="7"/>
      <c r="C80" s="7"/>
      <c r="D80" s="7"/>
      <c r="E80" s="7"/>
      <c r="F80" s="7"/>
      <c r="G80" s="7"/>
      <c r="H80" s="7"/>
      <c r="I80" s="7"/>
      <c r="J80" s="7"/>
      <c r="K80" s="7"/>
      <c r="L80" s="7"/>
      <c r="M80" s="7"/>
      <c r="N80" s="7"/>
      <c r="O80" s="7"/>
      <c r="P80" s="7"/>
      <c r="Q80" s="7"/>
      <c r="R80" s="7"/>
      <c r="S80" s="7"/>
      <c r="T80" s="7"/>
      <c r="U80" s="7"/>
      <c r="V80" s="7"/>
    </row>
    <row r="81" spans="1:22" ht="15">
      <c r="A81" s="7"/>
      <c r="B81" s="7"/>
      <c r="C81" s="7"/>
      <c r="D81" s="7"/>
      <c r="E81" s="7"/>
      <c r="F81" s="7"/>
      <c r="G81" s="7"/>
      <c r="H81" s="7"/>
      <c r="I81" s="7"/>
      <c r="J81" s="7"/>
      <c r="K81" s="7"/>
      <c r="L81" s="7"/>
      <c r="M81" s="7"/>
      <c r="N81" s="7"/>
      <c r="O81" s="7"/>
      <c r="P81" s="7"/>
      <c r="Q81" s="7"/>
      <c r="R81" s="7"/>
      <c r="S81" s="7"/>
      <c r="T81" s="7"/>
      <c r="U81" s="7"/>
      <c r="V81" s="7"/>
    </row>
    <row r="82" spans="1:22" ht="15">
      <c r="A82" s="7"/>
      <c r="B82" s="7"/>
      <c r="C82" s="7"/>
      <c r="D82" s="7"/>
      <c r="E82" s="7"/>
      <c r="F82" s="7"/>
      <c r="G82" s="7"/>
      <c r="H82" s="7"/>
      <c r="I82" s="7"/>
      <c r="J82" s="7"/>
      <c r="K82" s="7"/>
      <c r="L82" s="7"/>
      <c r="M82" s="7"/>
      <c r="N82" s="7"/>
      <c r="O82" s="7"/>
      <c r="P82" s="7"/>
      <c r="Q82" s="7"/>
      <c r="R82" s="7"/>
      <c r="S82" s="7"/>
      <c r="T82" s="7"/>
      <c r="U82" s="7"/>
      <c r="V82" s="7"/>
    </row>
    <row r="83" spans="1:22" ht="15">
      <c r="A83" s="7"/>
      <c r="B83" s="7"/>
      <c r="C83" s="7"/>
      <c r="D83" s="7"/>
      <c r="E83" s="7"/>
      <c r="F83" s="7"/>
      <c r="G83" s="7"/>
      <c r="H83" s="7"/>
      <c r="I83" s="7"/>
      <c r="J83" s="7"/>
      <c r="K83" s="7"/>
      <c r="L83" s="7"/>
      <c r="M83" s="7"/>
      <c r="N83" s="7"/>
      <c r="O83" s="7"/>
      <c r="P83" s="7"/>
      <c r="Q83" s="7"/>
      <c r="R83" s="7"/>
      <c r="S83" s="7"/>
      <c r="T83" s="7"/>
      <c r="U83" s="7"/>
      <c r="V83" s="7"/>
    </row>
    <row r="84" spans="1:22" ht="15">
      <c r="A84" s="7"/>
      <c r="B84" s="7"/>
      <c r="C84" s="7"/>
      <c r="D84" s="7"/>
      <c r="E84" s="7"/>
      <c r="F84" s="7"/>
      <c r="G84" s="7"/>
      <c r="H84" s="7"/>
      <c r="I84" s="7"/>
      <c r="J84" s="7"/>
      <c r="K84" s="7"/>
      <c r="L84" s="7"/>
      <c r="M84" s="7"/>
      <c r="N84" s="7"/>
      <c r="O84" s="7"/>
      <c r="P84" s="7"/>
      <c r="Q84" s="7"/>
      <c r="R84" s="7"/>
      <c r="S84" s="7"/>
      <c r="T84" s="7"/>
      <c r="U84" s="7"/>
      <c r="V84" s="7"/>
    </row>
    <row r="85" spans="1:22" ht="15">
      <c r="A85" s="7"/>
      <c r="B85" s="7"/>
      <c r="C85" s="7"/>
      <c r="D85" s="7"/>
      <c r="E85" s="7"/>
      <c r="F85" s="7"/>
      <c r="G85" s="7"/>
      <c r="H85" s="7"/>
      <c r="I85" s="7"/>
      <c r="J85" s="7"/>
      <c r="K85" s="7"/>
      <c r="L85" s="7"/>
      <c r="M85" s="7"/>
      <c r="N85" s="7"/>
      <c r="O85" s="7"/>
      <c r="P85" s="7"/>
      <c r="Q85" s="7"/>
      <c r="R85" s="7"/>
      <c r="S85" s="7"/>
      <c r="T85" s="7"/>
      <c r="U85" s="7"/>
      <c r="V85" s="7"/>
    </row>
    <row r="86" spans="1:22" ht="15">
      <c r="A86" s="7"/>
      <c r="B86" s="7"/>
      <c r="C86" s="7"/>
      <c r="D86" s="7"/>
      <c r="E86" s="7"/>
      <c r="F86" s="7"/>
      <c r="G86" s="7"/>
      <c r="H86" s="7"/>
      <c r="I86" s="7"/>
      <c r="J86" s="7"/>
      <c r="K86" s="7"/>
      <c r="L86" s="7"/>
      <c r="M86" s="7"/>
      <c r="N86" s="7"/>
      <c r="O86" s="7"/>
      <c r="P86" s="7"/>
      <c r="Q86" s="7"/>
      <c r="R86" s="7"/>
      <c r="S86" s="7"/>
      <c r="T86" s="7"/>
      <c r="U86" s="7"/>
      <c r="V86" s="7"/>
    </row>
    <row r="87" spans="1:22" ht="15">
      <c r="A87" s="7"/>
      <c r="B87" s="7"/>
      <c r="C87" s="7"/>
      <c r="D87" s="7"/>
      <c r="E87" s="7"/>
      <c r="F87" s="7"/>
      <c r="G87" s="7"/>
      <c r="H87" s="7"/>
      <c r="I87" s="7"/>
      <c r="J87" s="7"/>
      <c r="K87" s="7"/>
      <c r="L87" s="7"/>
      <c r="M87" s="7"/>
      <c r="N87" s="7"/>
      <c r="O87" s="7"/>
      <c r="P87" s="7"/>
      <c r="Q87" s="7"/>
      <c r="R87" s="7"/>
      <c r="S87" s="7"/>
      <c r="T87" s="7"/>
      <c r="U87" s="7"/>
      <c r="V87" s="7"/>
    </row>
    <row r="88" spans="1:22" ht="15">
      <c r="A88" s="7"/>
      <c r="B88" s="7"/>
      <c r="C88" s="7"/>
      <c r="D88" s="7"/>
      <c r="E88" s="7"/>
      <c r="F88" s="7"/>
      <c r="G88" s="7"/>
      <c r="H88" s="7"/>
      <c r="I88" s="7"/>
      <c r="J88" s="7"/>
      <c r="K88" s="7"/>
      <c r="L88" s="7"/>
      <c r="M88" s="7"/>
      <c r="N88" s="7"/>
      <c r="O88" s="7"/>
      <c r="P88" s="7"/>
      <c r="Q88" s="7"/>
      <c r="R88" s="7"/>
      <c r="S88" s="7"/>
      <c r="T88" s="7"/>
      <c r="U88" s="7"/>
      <c r="V88" s="7"/>
    </row>
    <row r="89" spans="1:22" ht="15">
      <c r="A89" s="7"/>
      <c r="B89" s="7"/>
      <c r="C89" s="7"/>
      <c r="D89" s="7"/>
      <c r="E89" s="7"/>
      <c r="F89" s="7"/>
      <c r="G89" s="7"/>
      <c r="H89" s="7"/>
      <c r="I89" s="7"/>
      <c r="J89" s="7"/>
      <c r="K89" s="7"/>
      <c r="L89" s="7"/>
      <c r="M89" s="7"/>
      <c r="N89" s="7"/>
      <c r="O89" s="7"/>
      <c r="P89" s="7"/>
      <c r="Q89" s="7"/>
      <c r="R89" s="7"/>
      <c r="S89" s="7"/>
      <c r="T89" s="7"/>
      <c r="U89" s="7"/>
      <c r="V89" s="7"/>
    </row>
    <row r="90" spans="1:22" ht="15">
      <c r="A90" s="7"/>
      <c r="B90" s="7"/>
      <c r="C90" s="7"/>
      <c r="D90" s="7"/>
      <c r="E90" s="7"/>
      <c r="F90" s="7"/>
      <c r="G90" s="7"/>
      <c r="H90" s="7"/>
      <c r="I90" s="7"/>
      <c r="J90" s="7"/>
      <c r="K90" s="7"/>
      <c r="L90" s="7"/>
      <c r="M90" s="7"/>
      <c r="N90" s="7"/>
      <c r="O90" s="7"/>
      <c r="P90" s="7"/>
      <c r="Q90" s="7"/>
      <c r="R90" s="7"/>
      <c r="S90" s="7"/>
      <c r="T90" s="7"/>
      <c r="U90" s="7"/>
      <c r="V90" s="7"/>
    </row>
    <row r="91" spans="1:22" ht="15">
      <c r="A91" s="7"/>
      <c r="B91" s="7"/>
      <c r="C91" s="7"/>
      <c r="D91" s="7"/>
      <c r="E91" s="7"/>
      <c r="F91" s="7"/>
      <c r="G91" s="7"/>
      <c r="H91" s="7"/>
      <c r="I91" s="7"/>
      <c r="J91" s="7"/>
      <c r="K91" s="7"/>
      <c r="L91" s="7"/>
      <c r="M91" s="7"/>
      <c r="N91" s="7"/>
      <c r="O91" s="7"/>
      <c r="P91" s="7"/>
      <c r="Q91" s="7"/>
      <c r="R91" s="7"/>
      <c r="S91" s="7"/>
      <c r="T91" s="7"/>
      <c r="U91" s="7"/>
      <c r="V91" s="7"/>
    </row>
    <row r="92" spans="1:22" ht="15">
      <c r="A92" s="7"/>
      <c r="B92" s="7"/>
      <c r="C92" s="7"/>
      <c r="D92" s="7"/>
      <c r="E92" s="7"/>
      <c r="F92" s="7"/>
      <c r="G92" s="7"/>
      <c r="H92" s="7"/>
      <c r="I92" s="7"/>
      <c r="J92" s="7"/>
      <c r="K92" s="7"/>
      <c r="L92" s="7"/>
      <c r="M92" s="7"/>
      <c r="N92" s="7"/>
      <c r="O92" s="7"/>
      <c r="P92" s="7"/>
      <c r="Q92" s="7"/>
      <c r="R92" s="7"/>
      <c r="S92" s="7"/>
      <c r="T92" s="7"/>
      <c r="U92" s="7"/>
      <c r="V92" s="7"/>
    </row>
    <row r="93" spans="1:22" ht="15">
      <c r="A93" s="7"/>
      <c r="B93" s="7"/>
      <c r="C93" s="7"/>
      <c r="D93" s="7"/>
      <c r="E93" s="7"/>
      <c r="F93" s="7"/>
      <c r="G93" s="7"/>
      <c r="H93" s="7"/>
      <c r="I93" s="7"/>
      <c r="J93" s="7"/>
      <c r="K93" s="7"/>
      <c r="L93" s="7"/>
      <c r="M93" s="7"/>
      <c r="N93" s="7"/>
      <c r="O93" s="7"/>
      <c r="P93" s="7"/>
      <c r="Q93" s="7"/>
      <c r="R93" s="7"/>
      <c r="S93" s="7"/>
      <c r="T93" s="7"/>
      <c r="U93" s="7"/>
      <c r="V93" s="7"/>
    </row>
    <row r="94" spans="1:22" ht="15">
      <c r="A94" s="7"/>
      <c r="B94" s="7"/>
      <c r="C94" s="7"/>
      <c r="D94" s="7"/>
      <c r="E94" s="7"/>
      <c r="F94" s="7"/>
      <c r="G94" s="7"/>
      <c r="H94" s="7"/>
      <c r="I94" s="7"/>
      <c r="J94" s="7"/>
      <c r="K94" s="7"/>
      <c r="L94" s="7"/>
      <c r="M94" s="7"/>
      <c r="N94" s="7"/>
      <c r="O94" s="7"/>
      <c r="P94" s="7"/>
      <c r="Q94" s="7"/>
      <c r="R94" s="7"/>
      <c r="S94" s="7"/>
      <c r="T94" s="7"/>
      <c r="U94" s="7"/>
      <c r="V94" s="7"/>
    </row>
    <row r="95" spans="1:22" ht="15">
      <c r="A95" s="7"/>
      <c r="B95" s="7"/>
      <c r="C95" s="7"/>
      <c r="D95" s="7"/>
      <c r="E95" s="7"/>
      <c r="F95" s="7"/>
      <c r="G95" s="7"/>
      <c r="H95" s="7"/>
      <c r="I95" s="7"/>
      <c r="J95" s="7"/>
      <c r="K95" s="7"/>
      <c r="L95" s="7"/>
      <c r="M95" s="7"/>
      <c r="N95" s="7"/>
      <c r="O95" s="7"/>
      <c r="P95" s="7"/>
      <c r="Q95" s="7"/>
      <c r="R95" s="7"/>
      <c r="S95" s="7"/>
      <c r="T95" s="7"/>
      <c r="U95" s="7"/>
      <c r="V95" s="7"/>
    </row>
    <row r="96" spans="1:22" ht="15">
      <c r="A96" s="7"/>
      <c r="B96" s="7"/>
      <c r="C96" s="7"/>
      <c r="D96" s="7"/>
      <c r="E96" s="7"/>
      <c r="F96" s="7"/>
      <c r="G96" s="7"/>
      <c r="H96" s="7"/>
      <c r="I96" s="7"/>
      <c r="J96" s="7"/>
      <c r="K96" s="7"/>
      <c r="L96" s="7"/>
      <c r="M96" s="7"/>
      <c r="N96" s="7"/>
      <c r="O96" s="7"/>
      <c r="P96" s="7"/>
      <c r="Q96" s="7"/>
      <c r="R96" s="7"/>
      <c r="S96" s="7"/>
      <c r="T96" s="7"/>
      <c r="U96" s="7"/>
      <c r="V96" s="7"/>
    </row>
    <row r="97" spans="1:22" ht="15">
      <c r="A97" s="7"/>
      <c r="B97" s="7"/>
      <c r="C97" s="7"/>
      <c r="D97" s="7"/>
      <c r="E97" s="7"/>
      <c r="F97" s="7"/>
      <c r="G97" s="7"/>
      <c r="H97" s="7"/>
      <c r="I97" s="7"/>
      <c r="J97" s="7"/>
      <c r="K97" s="7"/>
      <c r="L97" s="7"/>
      <c r="M97" s="7"/>
      <c r="N97" s="7"/>
      <c r="O97" s="7"/>
      <c r="P97" s="7"/>
      <c r="Q97" s="7"/>
      <c r="R97" s="7"/>
      <c r="S97" s="7"/>
      <c r="T97" s="7"/>
      <c r="U97" s="7"/>
      <c r="V97" s="7"/>
    </row>
    <row r="98" spans="1:22" ht="15">
      <c r="A98" s="7"/>
      <c r="B98" s="7"/>
      <c r="C98" s="7"/>
      <c r="D98" s="7"/>
      <c r="E98" s="7"/>
      <c r="F98" s="7"/>
      <c r="G98" s="7"/>
      <c r="H98" s="7"/>
      <c r="I98" s="7"/>
      <c r="J98" s="7"/>
      <c r="K98" s="7"/>
      <c r="L98" s="7"/>
      <c r="M98" s="7"/>
      <c r="N98" s="7"/>
      <c r="O98" s="7"/>
      <c r="P98" s="7"/>
      <c r="Q98" s="7"/>
      <c r="R98" s="7"/>
      <c r="S98" s="7"/>
      <c r="T98" s="7"/>
      <c r="U98" s="7"/>
      <c r="V98" s="7"/>
    </row>
    <row r="99" spans="1:22" ht="15">
      <c r="A99" s="7"/>
      <c r="B99" s="7"/>
      <c r="C99" s="7"/>
      <c r="D99" s="7"/>
      <c r="E99" s="7"/>
      <c r="F99" s="7"/>
      <c r="G99" s="7"/>
      <c r="H99" s="7"/>
      <c r="I99" s="7"/>
      <c r="J99" s="7"/>
      <c r="K99" s="7"/>
      <c r="L99" s="7"/>
      <c r="M99" s="7"/>
      <c r="N99" s="7"/>
      <c r="O99" s="7"/>
      <c r="P99" s="7"/>
      <c r="Q99" s="7"/>
      <c r="R99" s="7"/>
      <c r="S99" s="7"/>
      <c r="T99" s="7"/>
      <c r="U99" s="7"/>
      <c r="V99" s="7"/>
    </row>
    <row r="100" spans="1:22" ht="15">
      <c r="A100" s="7"/>
      <c r="B100" s="7"/>
      <c r="C100" s="7"/>
      <c r="D100" s="7"/>
      <c r="E100" s="7"/>
      <c r="F100" s="7"/>
      <c r="G100" s="7"/>
      <c r="H100" s="7"/>
      <c r="I100" s="7"/>
      <c r="J100" s="7"/>
      <c r="K100" s="7"/>
      <c r="L100" s="7"/>
      <c r="M100" s="7"/>
      <c r="N100" s="7"/>
      <c r="O100" s="7"/>
      <c r="P100" s="7"/>
      <c r="Q100" s="7"/>
      <c r="R100" s="7"/>
      <c r="S100" s="7"/>
      <c r="T100" s="7"/>
      <c r="U100" s="7"/>
      <c r="V100" s="7"/>
    </row>
    <row r="101" spans="1:22" ht="15">
      <c r="A101" s="7"/>
      <c r="B101" s="7"/>
      <c r="C101" s="7"/>
      <c r="D101" s="7"/>
      <c r="E101" s="7"/>
      <c r="F101" s="7"/>
      <c r="G101" s="7"/>
      <c r="H101" s="7"/>
      <c r="I101" s="7"/>
      <c r="J101" s="7"/>
      <c r="K101" s="7"/>
      <c r="L101" s="7"/>
      <c r="M101" s="7"/>
      <c r="N101" s="7"/>
      <c r="O101" s="7"/>
      <c r="P101" s="7"/>
      <c r="Q101" s="7"/>
      <c r="R101" s="7"/>
      <c r="S101" s="7"/>
      <c r="T101" s="7"/>
      <c r="U101" s="7"/>
      <c r="V101" s="7"/>
    </row>
    <row r="102" spans="1:22" ht="15">
      <c r="A102" s="7"/>
      <c r="B102" s="7"/>
      <c r="C102" s="7"/>
      <c r="D102" s="7"/>
      <c r="E102" s="7"/>
      <c r="F102" s="7"/>
      <c r="G102" s="7"/>
      <c r="H102" s="7"/>
      <c r="I102" s="7"/>
      <c r="J102" s="7"/>
      <c r="K102" s="7"/>
      <c r="L102" s="7"/>
      <c r="M102" s="7"/>
      <c r="N102" s="7"/>
      <c r="O102" s="7"/>
      <c r="P102" s="7"/>
      <c r="Q102" s="7"/>
      <c r="R102" s="7"/>
      <c r="S102" s="7"/>
      <c r="T102" s="7"/>
      <c r="U102" s="7"/>
      <c r="V102" s="7"/>
    </row>
    <row r="103" spans="1:22" ht="15">
      <c r="A103" s="7"/>
      <c r="B103" s="7"/>
      <c r="C103" s="7"/>
      <c r="D103" s="7"/>
      <c r="E103" s="7"/>
      <c r="F103" s="7"/>
      <c r="G103" s="7"/>
      <c r="H103" s="7"/>
      <c r="I103" s="7"/>
      <c r="J103" s="7"/>
      <c r="K103" s="7"/>
      <c r="L103" s="7"/>
      <c r="M103" s="7"/>
      <c r="N103" s="7"/>
      <c r="O103" s="7"/>
      <c r="P103" s="7"/>
      <c r="Q103" s="7"/>
      <c r="R103" s="7"/>
      <c r="S103" s="7"/>
      <c r="T103" s="7"/>
      <c r="U103" s="7"/>
      <c r="V103" s="7"/>
    </row>
    <row r="104" spans="1:22" ht="15">
      <c r="A104" s="7"/>
      <c r="B104" s="7"/>
      <c r="C104" s="7"/>
      <c r="D104" s="7"/>
      <c r="E104" s="7"/>
      <c r="F104" s="7"/>
      <c r="G104" s="7"/>
      <c r="H104" s="7"/>
      <c r="I104" s="7"/>
      <c r="J104" s="7"/>
      <c r="K104" s="7"/>
      <c r="L104" s="7"/>
      <c r="M104" s="7"/>
      <c r="N104" s="7"/>
      <c r="O104" s="7"/>
      <c r="P104" s="7"/>
      <c r="Q104" s="7"/>
      <c r="R104" s="7"/>
      <c r="S104" s="7"/>
      <c r="T104" s="7"/>
      <c r="U104" s="7"/>
      <c r="V104" s="7"/>
    </row>
  </sheetData>
  <mergeCells count="8">
    <mergeCell ref="F1:F2"/>
    <mergeCell ref="G1:G2"/>
    <mergeCell ref="H1:T1"/>
    <mergeCell ref="A1:A2"/>
    <mergeCell ref="B1:B2"/>
    <mergeCell ref="C1:C2"/>
    <mergeCell ref="D1:D2"/>
    <mergeCell ref="E1:E2"/>
  </mergeCells>
  <pageMargins left="0.78749999999999998" right="0.78749999999999998" top="1.05277777777778" bottom="1.05277777777778" header="0.78749999999999998" footer="0.78749999999999998"/>
  <pageSetup paperSize="9" firstPageNumber="0" orientation="portrait" horizontalDpi="300" verticalDpi="300"/>
  <headerFooter>
    <oddHeader>&amp;C&amp;"Calibri,Regular"&amp;12&amp;A</oddHeader>
    <oddFooter>&amp;C&amp;"Calibri,Regular"&amp;12Page &amp;P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51"/>
  <sheetViews>
    <sheetView zoomScale="57" zoomScaleNormal="57" workbookViewId="0">
      <pane activePane="bottomRight" state="frozen"/>
    </sheetView>
  </sheetViews>
  <sheetFormatPr defaultColWidth="4" defaultRowHeight="15"/>
  <cols>
    <col min="1" max="1" width="26.140625" style="7" customWidth="1"/>
    <col min="2" max="2" width="6.42578125" style="7" customWidth="1"/>
    <col min="3" max="3" width="8.42578125" style="7" customWidth="1"/>
    <col min="4" max="4" width="22.42578125" style="7" customWidth="1"/>
    <col min="5" max="5" width="23.85546875" style="7" customWidth="1"/>
    <col min="6" max="6" width="21.85546875" style="7" customWidth="1"/>
    <col min="7" max="7" width="17.85546875" style="7" customWidth="1"/>
    <col min="8" max="8" width="16.85546875" style="7" customWidth="1"/>
    <col min="9" max="9" width="37" style="7" customWidth="1"/>
    <col min="10" max="10" width="20.5703125" style="7" customWidth="1"/>
    <col min="11" max="11" width="30.5703125" style="7" customWidth="1"/>
    <col min="12" max="12" width="20.85546875" style="7" customWidth="1"/>
    <col min="13" max="13" width="40.28515625" style="7" customWidth="1"/>
    <col min="14" max="14" width="18.85546875" style="7" customWidth="1"/>
    <col min="15" max="15" width="32" style="7" customWidth="1"/>
    <col min="16" max="16" width="18.42578125" style="7" customWidth="1"/>
    <col min="17" max="17" width="34.42578125" style="7" customWidth="1"/>
    <col min="18" max="18" width="19" style="7" customWidth="1"/>
    <col min="19" max="19" width="23.140625" style="7" customWidth="1"/>
    <col min="20" max="20" width="15.5703125" style="7" customWidth="1"/>
    <col min="21" max="21" width="20.42578125" style="7" customWidth="1"/>
    <col min="22" max="22" width="20.7109375" style="7" customWidth="1"/>
    <col min="23" max="1024" width="4" style="7"/>
  </cols>
  <sheetData>
    <row r="1" spans="1:22" s="11" customFormat="1" ht="14.1" customHeight="1">
      <c r="A1" s="3" t="s">
        <v>321</v>
      </c>
      <c r="B1" s="3" t="s">
        <v>0</v>
      </c>
      <c r="C1" s="3" t="s">
        <v>1</v>
      </c>
      <c r="D1" s="3" t="s">
        <v>2</v>
      </c>
      <c r="E1" s="3" t="s">
        <v>3</v>
      </c>
      <c r="F1" s="3" t="s">
        <v>4</v>
      </c>
      <c r="G1" s="3" t="s">
        <v>5</v>
      </c>
      <c r="H1" s="3" t="s">
        <v>6</v>
      </c>
      <c r="I1" s="3"/>
      <c r="J1" s="3"/>
      <c r="K1" s="3"/>
      <c r="L1" s="3"/>
      <c r="M1" s="3"/>
      <c r="N1" s="3"/>
      <c r="O1" s="3"/>
      <c r="P1" s="3"/>
      <c r="Q1" s="3"/>
      <c r="R1" s="3"/>
      <c r="S1" s="3"/>
      <c r="T1" s="3"/>
      <c r="U1" s="3" t="s">
        <v>15</v>
      </c>
      <c r="V1" s="3" t="s">
        <v>16</v>
      </c>
    </row>
    <row r="2" spans="1:22" ht="45">
      <c r="A2" s="3"/>
      <c r="B2" s="3"/>
      <c r="C2" s="3"/>
      <c r="D2" s="3"/>
      <c r="E2" s="3"/>
      <c r="F2" s="3"/>
      <c r="G2" s="3"/>
      <c r="H2" s="7" t="s">
        <v>7</v>
      </c>
      <c r="I2" s="7" t="s">
        <v>8</v>
      </c>
      <c r="J2" s="7" t="s">
        <v>9</v>
      </c>
      <c r="K2" s="7" t="s">
        <v>10</v>
      </c>
      <c r="L2" s="7" t="s">
        <v>9</v>
      </c>
      <c r="M2" s="7" t="s">
        <v>11</v>
      </c>
      <c r="N2" s="7" t="s">
        <v>9</v>
      </c>
      <c r="O2" s="7" t="s">
        <v>12</v>
      </c>
      <c r="P2" s="7" t="s">
        <v>9</v>
      </c>
      <c r="Q2" s="7" t="s">
        <v>13</v>
      </c>
      <c r="R2" s="7" t="s">
        <v>9</v>
      </c>
      <c r="S2" s="7" t="s">
        <v>14</v>
      </c>
      <c r="T2" s="7" t="s">
        <v>9</v>
      </c>
      <c r="U2" s="3"/>
      <c r="V2" s="3"/>
    </row>
    <row r="3" spans="1:22" ht="105">
      <c r="A3" s="12" t="s">
        <v>322</v>
      </c>
      <c r="B3" s="13"/>
      <c r="C3" s="13" t="s">
        <v>323</v>
      </c>
      <c r="D3" s="13" t="s">
        <v>324</v>
      </c>
      <c r="E3" s="13" t="s">
        <v>325</v>
      </c>
      <c r="F3" s="13" t="s">
        <v>326</v>
      </c>
      <c r="G3" s="14" t="s">
        <v>327</v>
      </c>
      <c r="H3" s="13" t="s">
        <v>328</v>
      </c>
      <c r="I3" s="13" t="s">
        <v>329</v>
      </c>
      <c r="J3" s="13" t="s">
        <v>330</v>
      </c>
      <c r="K3" s="13" t="s">
        <v>331</v>
      </c>
      <c r="L3" s="13" t="s">
        <v>332</v>
      </c>
      <c r="M3" s="13" t="s">
        <v>333</v>
      </c>
      <c r="N3" s="13" t="s">
        <v>332</v>
      </c>
      <c r="O3" s="15" t="s">
        <v>334</v>
      </c>
      <c r="P3" s="15" t="s">
        <v>335</v>
      </c>
      <c r="Q3" s="13"/>
      <c r="R3" s="13"/>
      <c r="S3" s="13" t="s">
        <v>336</v>
      </c>
      <c r="T3" s="7" t="s">
        <v>337</v>
      </c>
      <c r="U3" s="13">
        <v>30</v>
      </c>
      <c r="V3" s="16">
        <v>15</v>
      </c>
    </row>
    <row r="4" spans="1:22" ht="120">
      <c r="A4" s="12" t="s">
        <v>338</v>
      </c>
      <c r="B4" s="13"/>
      <c r="C4" s="13" t="s">
        <v>323</v>
      </c>
      <c r="D4" s="13" t="s">
        <v>339</v>
      </c>
      <c r="E4" s="13" t="s">
        <v>325</v>
      </c>
      <c r="F4" s="13" t="s">
        <v>340</v>
      </c>
      <c r="G4" s="14" t="s">
        <v>22</v>
      </c>
      <c r="H4" s="13" t="s">
        <v>341</v>
      </c>
      <c r="I4" s="13" t="s">
        <v>342</v>
      </c>
      <c r="J4" s="13" t="s">
        <v>330</v>
      </c>
      <c r="K4" s="13" t="s">
        <v>331</v>
      </c>
      <c r="L4" s="13" t="s">
        <v>332</v>
      </c>
      <c r="M4" s="13" t="s">
        <v>343</v>
      </c>
      <c r="N4" s="13" t="s">
        <v>332</v>
      </c>
      <c r="O4" s="15" t="s">
        <v>344</v>
      </c>
      <c r="P4" s="15" t="s">
        <v>335</v>
      </c>
      <c r="Q4" s="13" t="s">
        <v>345</v>
      </c>
      <c r="R4" s="13" t="s">
        <v>335</v>
      </c>
      <c r="S4" s="13" t="s">
        <v>336</v>
      </c>
      <c r="T4" s="7" t="s">
        <v>337</v>
      </c>
      <c r="U4" s="13">
        <v>20</v>
      </c>
      <c r="V4" s="16">
        <v>20</v>
      </c>
    </row>
    <row r="5" spans="1:22" ht="90">
      <c r="A5" s="12" t="s">
        <v>346</v>
      </c>
      <c r="B5" s="13"/>
      <c r="C5" s="13" t="s">
        <v>323</v>
      </c>
      <c r="D5" s="13" t="s">
        <v>347</v>
      </c>
      <c r="E5" s="13" t="s">
        <v>325</v>
      </c>
      <c r="F5" s="13" t="s">
        <v>348</v>
      </c>
      <c r="G5" s="14" t="s">
        <v>327</v>
      </c>
      <c r="H5" s="13" t="s">
        <v>348</v>
      </c>
      <c r="I5" s="13" t="s">
        <v>349</v>
      </c>
      <c r="J5" s="13" t="s">
        <v>335</v>
      </c>
      <c r="K5" s="13" t="s">
        <v>350</v>
      </c>
      <c r="L5" s="13" t="s">
        <v>335</v>
      </c>
      <c r="M5" s="13" t="s">
        <v>351</v>
      </c>
      <c r="N5" s="13" t="s">
        <v>335</v>
      </c>
      <c r="O5" s="15" t="s">
        <v>352</v>
      </c>
      <c r="P5" s="15" t="s">
        <v>335</v>
      </c>
      <c r="Q5" s="13"/>
      <c r="R5" s="13"/>
      <c r="S5" s="13" t="s">
        <v>353</v>
      </c>
      <c r="T5" s="7" t="s">
        <v>354</v>
      </c>
      <c r="U5" s="13">
        <v>20</v>
      </c>
      <c r="V5" s="16">
        <v>10</v>
      </c>
    </row>
    <row r="6" spans="1:22" ht="150">
      <c r="A6" s="12" t="s">
        <v>355</v>
      </c>
      <c r="B6" s="13"/>
      <c r="C6" s="13" t="s">
        <v>323</v>
      </c>
      <c r="D6" s="13" t="s">
        <v>356</v>
      </c>
      <c r="E6" s="13" t="s">
        <v>325</v>
      </c>
      <c r="F6" s="13" t="s">
        <v>357</v>
      </c>
      <c r="G6" s="14" t="s">
        <v>327</v>
      </c>
      <c r="H6" s="13" t="s">
        <v>357</v>
      </c>
      <c r="I6" s="13" t="s">
        <v>358</v>
      </c>
      <c r="J6" s="13" t="s">
        <v>330</v>
      </c>
      <c r="K6" s="13" t="s">
        <v>359</v>
      </c>
      <c r="L6" s="13" t="s">
        <v>332</v>
      </c>
      <c r="M6" s="13" t="s">
        <v>360</v>
      </c>
      <c r="N6" s="13" t="s">
        <v>332</v>
      </c>
      <c r="O6" s="13" t="s">
        <v>361</v>
      </c>
      <c r="P6" s="13" t="s">
        <v>332</v>
      </c>
      <c r="Q6" s="13" t="s">
        <v>362</v>
      </c>
      <c r="R6" s="13"/>
      <c r="S6" s="13" t="s">
        <v>336</v>
      </c>
      <c r="T6" s="7" t="s">
        <v>337</v>
      </c>
      <c r="U6" s="13">
        <v>30</v>
      </c>
      <c r="V6" s="16">
        <v>10</v>
      </c>
    </row>
    <row r="7" spans="1:22" ht="150">
      <c r="A7" s="12" t="s">
        <v>363</v>
      </c>
      <c r="B7" s="13"/>
      <c r="C7" s="13" t="s">
        <v>323</v>
      </c>
      <c r="D7" s="13" t="s">
        <v>364</v>
      </c>
      <c r="E7" s="13" t="s">
        <v>325</v>
      </c>
      <c r="F7" s="13" t="s">
        <v>357</v>
      </c>
      <c r="G7" s="14" t="s">
        <v>327</v>
      </c>
      <c r="H7" s="13" t="s">
        <v>357</v>
      </c>
      <c r="I7" s="13" t="s">
        <v>358</v>
      </c>
      <c r="J7" s="13" t="s">
        <v>330</v>
      </c>
      <c r="K7" s="13" t="s">
        <v>365</v>
      </c>
      <c r="L7" s="13" t="s">
        <v>332</v>
      </c>
      <c r="M7" s="13" t="s">
        <v>360</v>
      </c>
      <c r="N7" s="13" t="s">
        <v>332</v>
      </c>
      <c r="O7" s="13" t="s">
        <v>366</v>
      </c>
      <c r="P7" s="13" t="s">
        <v>332</v>
      </c>
      <c r="Q7" s="13" t="s">
        <v>362</v>
      </c>
      <c r="R7" s="13"/>
      <c r="S7" s="13" t="s">
        <v>336</v>
      </c>
      <c r="T7" s="7" t="s">
        <v>337</v>
      </c>
      <c r="U7" s="13">
        <v>15</v>
      </c>
      <c r="V7" s="16">
        <v>10</v>
      </c>
    </row>
    <row r="8" spans="1:22" ht="150">
      <c r="A8" s="12" t="s">
        <v>367</v>
      </c>
      <c r="B8" s="13"/>
      <c r="C8" s="13" t="s">
        <v>323</v>
      </c>
      <c r="D8" s="13" t="s">
        <v>368</v>
      </c>
      <c r="E8" s="13" t="s">
        <v>325</v>
      </c>
      <c r="F8" s="13" t="s">
        <v>357</v>
      </c>
      <c r="G8" s="14" t="s">
        <v>327</v>
      </c>
      <c r="H8" s="13" t="s">
        <v>357</v>
      </c>
      <c r="I8" s="13" t="s">
        <v>358</v>
      </c>
      <c r="J8" s="13" t="s">
        <v>330</v>
      </c>
      <c r="K8" s="13" t="s">
        <v>369</v>
      </c>
      <c r="L8" s="13" t="s">
        <v>332</v>
      </c>
      <c r="M8" s="13" t="s">
        <v>370</v>
      </c>
      <c r="N8" s="13" t="s">
        <v>332</v>
      </c>
      <c r="O8" s="13" t="s">
        <v>371</v>
      </c>
      <c r="P8" s="13" t="s">
        <v>332</v>
      </c>
      <c r="Q8" s="13" t="s">
        <v>362</v>
      </c>
      <c r="R8" s="13"/>
      <c r="S8" s="13" t="s">
        <v>336</v>
      </c>
      <c r="T8" s="7" t="s">
        <v>337</v>
      </c>
      <c r="U8" s="13">
        <v>15</v>
      </c>
      <c r="V8" s="16">
        <v>10</v>
      </c>
    </row>
    <row r="9" spans="1:22" ht="150">
      <c r="A9" s="12" t="s">
        <v>372</v>
      </c>
      <c r="B9" s="13"/>
      <c r="C9" s="13" t="s">
        <v>323</v>
      </c>
      <c r="D9" s="13" t="s">
        <v>373</v>
      </c>
      <c r="E9" s="13" t="s">
        <v>325</v>
      </c>
      <c r="F9" s="13" t="s">
        <v>374</v>
      </c>
      <c r="G9" s="14" t="s">
        <v>375</v>
      </c>
      <c r="H9" s="13" t="s">
        <v>374</v>
      </c>
      <c r="I9" s="13" t="s">
        <v>376</v>
      </c>
      <c r="J9" s="13" t="s">
        <v>335</v>
      </c>
      <c r="K9" s="13" t="s">
        <v>377</v>
      </c>
      <c r="L9" s="13" t="s">
        <v>335</v>
      </c>
      <c r="M9" s="13" t="s">
        <v>378</v>
      </c>
      <c r="N9" s="13" t="s">
        <v>335</v>
      </c>
      <c r="O9" s="13" t="s">
        <v>379</v>
      </c>
      <c r="P9" s="13" t="s">
        <v>335</v>
      </c>
      <c r="Q9" s="13" t="s">
        <v>380</v>
      </c>
      <c r="R9" s="13" t="s">
        <v>335</v>
      </c>
      <c r="S9" s="13" t="s">
        <v>336</v>
      </c>
      <c r="T9" s="7" t="s">
        <v>337</v>
      </c>
      <c r="U9" s="13">
        <v>20</v>
      </c>
      <c r="V9" s="16">
        <v>10</v>
      </c>
    </row>
    <row r="10" spans="1:22" ht="150">
      <c r="A10" s="12" t="s">
        <v>381</v>
      </c>
      <c r="B10" s="13"/>
      <c r="C10" s="13" t="s">
        <v>323</v>
      </c>
      <c r="D10" s="13" t="s">
        <v>382</v>
      </c>
      <c r="E10" s="13" t="s">
        <v>325</v>
      </c>
      <c r="F10" s="13" t="s">
        <v>383</v>
      </c>
      <c r="G10" s="14" t="s">
        <v>384</v>
      </c>
      <c r="H10" s="13" t="s">
        <v>383</v>
      </c>
      <c r="I10" s="13" t="s">
        <v>385</v>
      </c>
      <c r="J10" s="13" t="s">
        <v>335</v>
      </c>
      <c r="K10" s="13" t="s">
        <v>386</v>
      </c>
      <c r="L10" s="13" t="s">
        <v>335</v>
      </c>
      <c r="M10" s="13" t="s">
        <v>387</v>
      </c>
      <c r="N10" s="13" t="s">
        <v>335</v>
      </c>
      <c r="O10" s="13" t="s">
        <v>352</v>
      </c>
      <c r="P10" s="13" t="s">
        <v>335</v>
      </c>
      <c r="Q10" s="13" t="s">
        <v>388</v>
      </c>
      <c r="R10" s="13" t="s">
        <v>335</v>
      </c>
      <c r="S10" s="13" t="s">
        <v>336</v>
      </c>
      <c r="T10" s="7" t="s">
        <v>337</v>
      </c>
      <c r="U10" s="13">
        <v>20</v>
      </c>
      <c r="V10" s="16">
        <v>10</v>
      </c>
    </row>
    <row r="11" spans="1:22" ht="150">
      <c r="A11" s="12" t="s">
        <v>389</v>
      </c>
      <c r="B11" s="13"/>
      <c r="C11" s="13" t="s">
        <v>323</v>
      </c>
      <c r="D11" s="13" t="s">
        <v>382</v>
      </c>
      <c r="E11" s="13" t="s">
        <v>325</v>
      </c>
      <c r="F11" s="13" t="s">
        <v>383</v>
      </c>
      <c r="G11" s="14" t="s">
        <v>327</v>
      </c>
      <c r="H11" s="13" t="s">
        <v>383</v>
      </c>
      <c r="I11" s="13" t="s">
        <v>385</v>
      </c>
      <c r="J11" s="13" t="s">
        <v>330</v>
      </c>
      <c r="K11" s="13" t="s">
        <v>390</v>
      </c>
      <c r="L11" s="13" t="s">
        <v>335</v>
      </c>
      <c r="M11" s="13" t="s">
        <v>387</v>
      </c>
      <c r="N11" s="13" t="s">
        <v>391</v>
      </c>
      <c r="O11" s="13" t="s">
        <v>392</v>
      </c>
      <c r="P11" s="13" t="s">
        <v>335</v>
      </c>
      <c r="Q11" s="13"/>
      <c r="R11" s="13"/>
      <c r="S11" s="13" t="s">
        <v>336</v>
      </c>
      <c r="T11" s="7" t="s">
        <v>337</v>
      </c>
      <c r="U11" s="13">
        <v>10</v>
      </c>
      <c r="V11" s="16">
        <v>5</v>
      </c>
    </row>
    <row r="12" spans="1:22" ht="225">
      <c r="A12" s="12" t="s">
        <v>393</v>
      </c>
      <c r="B12" s="13"/>
      <c r="C12" s="13" t="s">
        <v>323</v>
      </c>
      <c r="D12" s="13" t="s">
        <v>394</v>
      </c>
      <c r="E12" s="13" t="s">
        <v>325</v>
      </c>
      <c r="F12" s="13" t="s">
        <v>395</v>
      </c>
      <c r="G12" s="14" t="s">
        <v>327</v>
      </c>
      <c r="H12" s="13" t="s">
        <v>395</v>
      </c>
      <c r="I12" s="13" t="s">
        <v>396</v>
      </c>
      <c r="J12" s="13" t="s">
        <v>335</v>
      </c>
      <c r="K12" s="13" t="s">
        <v>397</v>
      </c>
      <c r="L12" s="13" t="s">
        <v>335</v>
      </c>
      <c r="M12" s="13" t="s">
        <v>398</v>
      </c>
      <c r="N12" s="13" t="s">
        <v>335</v>
      </c>
      <c r="O12" s="13" t="s">
        <v>399</v>
      </c>
      <c r="P12" s="13" t="s">
        <v>335</v>
      </c>
      <c r="Q12" s="13" t="s">
        <v>400</v>
      </c>
      <c r="R12" s="13"/>
      <c r="S12" s="13" t="s">
        <v>401</v>
      </c>
      <c r="T12" s="7" t="s">
        <v>402</v>
      </c>
      <c r="U12" s="13">
        <v>20</v>
      </c>
      <c r="V12" s="16">
        <v>5</v>
      </c>
    </row>
    <row r="13" spans="1:22" ht="135">
      <c r="A13" s="12" t="s">
        <v>403</v>
      </c>
      <c r="B13" s="13"/>
      <c r="C13" s="13" t="s">
        <v>323</v>
      </c>
      <c r="D13" s="13" t="s">
        <v>404</v>
      </c>
      <c r="E13" s="13" t="s">
        <v>325</v>
      </c>
      <c r="F13" s="13" t="s">
        <v>405</v>
      </c>
      <c r="G13" s="14" t="s">
        <v>327</v>
      </c>
      <c r="H13" s="13" t="s">
        <v>405</v>
      </c>
      <c r="I13" s="13" t="s">
        <v>406</v>
      </c>
      <c r="J13" s="13" t="s">
        <v>330</v>
      </c>
      <c r="K13" s="13" t="s">
        <v>407</v>
      </c>
      <c r="L13" s="13" t="s">
        <v>330</v>
      </c>
      <c r="M13" s="13" t="s">
        <v>408</v>
      </c>
      <c r="N13" s="13" t="s">
        <v>391</v>
      </c>
      <c r="O13" s="13" t="s">
        <v>352</v>
      </c>
      <c r="P13" s="13" t="s">
        <v>335</v>
      </c>
      <c r="Q13" s="13"/>
      <c r="R13" s="13"/>
      <c r="S13" s="13" t="s">
        <v>336</v>
      </c>
      <c r="T13" s="7" t="s">
        <v>337</v>
      </c>
      <c r="U13" s="13">
        <v>15</v>
      </c>
      <c r="V13" s="16">
        <v>5</v>
      </c>
    </row>
    <row r="14" spans="1:22" ht="105">
      <c r="A14" s="12" t="s">
        <v>409</v>
      </c>
      <c r="B14" s="13"/>
      <c r="C14" s="13" t="s">
        <v>323</v>
      </c>
      <c r="D14" s="13" t="s">
        <v>410</v>
      </c>
      <c r="E14" s="13" t="s">
        <v>325</v>
      </c>
      <c r="F14" s="13" t="s">
        <v>411</v>
      </c>
      <c r="G14" s="14" t="s">
        <v>412</v>
      </c>
      <c r="H14" s="13" t="s">
        <v>411</v>
      </c>
      <c r="I14" s="13" t="s">
        <v>413</v>
      </c>
      <c r="J14" s="13" t="s">
        <v>330</v>
      </c>
      <c r="K14" s="13" t="s">
        <v>414</v>
      </c>
      <c r="L14" s="13" t="s">
        <v>330</v>
      </c>
      <c r="M14" s="13" t="s">
        <v>415</v>
      </c>
      <c r="N14" s="13" t="s">
        <v>330</v>
      </c>
      <c r="O14" s="13" t="s">
        <v>416</v>
      </c>
      <c r="P14" s="13" t="s">
        <v>417</v>
      </c>
      <c r="Q14" s="13" t="s">
        <v>418</v>
      </c>
      <c r="R14" s="13" t="s">
        <v>330</v>
      </c>
      <c r="S14" s="13" t="s">
        <v>336</v>
      </c>
      <c r="T14" s="7" t="s">
        <v>337</v>
      </c>
      <c r="U14" s="13">
        <v>15</v>
      </c>
      <c r="V14" s="16">
        <v>5</v>
      </c>
    </row>
    <row r="15" spans="1:22" ht="105">
      <c r="A15" s="12" t="s">
        <v>419</v>
      </c>
      <c r="B15" s="13"/>
      <c r="C15" s="13" t="s">
        <v>323</v>
      </c>
      <c r="D15" s="13" t="s">
        <v>420</v>
      </c>
      <c r="E15" s="13" t="s">
        <v>325</v>
      </c>
      <c r="F15" s="13" t="s">
        <v>421</v>
      </c>
      <c r="G15" s="14" t="s">
        <v>412</v>
      </c>
      <c r="H15" s="13" t="s">
        <v>421</v>
      </c>
      <c r="I15" s="13" t="s">
        <v>422</v>
      </c>
      <c r="J15" s="13" t="s">
        <v>330</v>
      </c>
      <c r="K15" s="13" t="s">
        <v>423</v>
      </c>
      <c r="L15" s="13" t="s">
        <v>330</v>
      </c>
      <c r="M15" s="13" t="s">
        <v>424</v>
      </c>
      <c r="N15" s="13" t="s">
        <v>330</v>
      </c>
      <c r="O15" s="13" t="s">
        <v>352</v>
      </c>
      <c r="P15" s="13" t="s">
        <v>335</v>
      </c>
      <c r="Q15" s="13" t="s">
        <v>425</v>
      </c>
      <c r="R15" s="13" t="s">
        <v>330</v>
      </c>
      <c r="S15" s="13" t="s">
        <v>336</v>
      </c>
      <c r="T15" s="7" t="s">
        <v>337</v>
      </c>
      <c r="U15" s="13">
        <v>15</v>
      </c>
      <c r="V15" s="16">
        <v>5</v>
      </c>
    </row>
    <row r="16" spans="1:22" ht="120">
      <c r="A16" s="12" t="s">
        <v>426</v>
      </c>
      <c r="B16" s="13"/>
      <c r="C16" s="13" t="s">
        <v>323</v>
      </c>
      <c r="D16" s="13" t="s">
        <v>427</v>
      </c>
      <c r="E16" s="13" t="s">
        <v>325</v>
      </c>
      <c r="F16" s="13" t="s">
        <v>421</v>
      </c>
      <c r="G16" s="14" t="s">
        <v>428</v>
      </c>
      <c r="H16" s="13" t="s">
        <v>421</v>
      </c>
      <c r="I16" s="13" t="s">
        <v>422</v>
      </c>
      <c r="J16" s="13" t="s">
        <v>330</v>
      </c>
      <c r="K16" s="13" t="s">
        <v>429</v>
      </c>
      <c r="L16" s="13" t="s">
        <v>330</v>
      </c>
      <c r="M16" s="13" t="s">
        <v>424</v>
      </c>
      <c r="N16" s="13" t="s">
        <v>330</v>
      </c>
      <c r="O16" s="13" t="s">
        <v>430</v>
      </c>
      <c r="P16" s="13" t="s">
        <v>335</v>
      </c>
      <c r="Q16" s="13" t="s">
        <v>431</v>
      </c>
      <c r="R16" s="13" t="s">
        <v>330</v>
      </c>
      <c r="S16" s="13" t="s">
        <v>336</v>
      </c>
      <c r="T16" s="7" t="s">
        <v>337</v>
      </c>
      <c r="U16" s="13">
        <v>20</v>
      </c>
      <c r="V16" s="16">
        <v>5</v>
      </c>
    </row>
    <row r="17" spans="1:22" ht="105">
      <c r="A17" s="12" t="s">
        <v>432</v>
      </c>
      <c r="B17" s="13"/>
      <c r="C17" s="13" t="s">
        <v>323</v>
      </c>
      <c r="D17" s="13" t="s">
        <v>433</v>
      </c>
      <c r="E17" s="13" t="s">
        <v>325</v>
      </c>
      <c r="F17" s="13" t="s">
        <v>434</v>
      </c>
      <c r="G17" s="14" t="s">
        <v>327</v>
      </c>
      <c r="H17" s="13" t="s">
        <v>434</v>
      </c>
      <c r="I17" s="13" t="s">
        <v>435</v>
      </c>
      <c r="J17" s="13" t="s">
        <v>335</v>
      </c>
      <c r="K17" s="13" t="s">
        <v>436</v>
      </c>
      <c r="L17" s="13" t="s">
        <v>335</v>
      </c>
      <c r="M17" s="13" t="s">
        <v>437</v>
      </c>
      <c r="N17" s="13" t="s">
        <v>335</v>
      </c>
      <c r="O17" s="13" t="s">
        <v>438</v>
      </c>
      <c r="P17" s="13" t="s">
        <v>335</v>
      </c>
      <c r="Q17" s="13" t="s">
        <v>439</v>
      </c>
      <c r="R17" s="13" t="s">
        <v>335</v>
      </c>
      <c r="S17" s="13" t="s">
        <v>440</v>
      </c>
      <c r="T17" s="7" t="s">
        <v>441</v>
      </c>
      <c r="U17" s="13">
        <v>15</v>
      </c>
      <c r="V17" s="16">
        <v>5</v>
      </c>
    </row>
    <row r="18" spans="1:22" ht="105">
      <c r="A18" s="12" t="s">
        <v>442</v>
      </c>
      <c r="B18" s="13"/>
      <c r="C18" s="13" t="s">
        <v>323</v>
      </c>
      <c r="D18" s="13" t="s">
        <v>443</v>
      </c>
      <c r="E18" s="13" t="s">
        <v>325</v>
      </c>
      <c r="F18" s="13" t="s">
        <v>444</v>
      </c>
      <c r="G18" s="14" t="s">
        <v>327</v>
      </c>
      <c r="H18" s="13" t="s">
        <v>444</v>
      </c>
      <c r="I18" s="13" t="s">
        <v>445</v>
      </c>
      <c r="J18" s="13" t="s">
        <v>335</v>
      </c>
      <c r="K18" s="13" t="s">
        <v>446</v>
      </c>
      <c r="L18" s="13" t="s">
        <v>335</v>
      </c>
      <c r="M18" s="13" t="s">
        <v>447</v>
      </c>
      <c r="N18" s="13" t="s">
        <v>335</v>
      </c>
      <c r="O18" s="13" t="s">
        <v>448</v>
      </c>
      <c r="P18" s="13" t="s">
        <v>335</v>
      </c>
      <c r="Q18" s="13" t="s">
        <v>449</v>
      </c>
      <c r="R18" s="13" t="s">
        <v>335</v>
      </c>
      <c r="S18" s="13" t="s">
        <v>440</v>
      </c>
      <c r="T18" s="7" t="s">
        <v>441</v>
      </c>
      <c r="U18" s="13">
        <v>20</v>
      </c>
      <c r="V18" s="16">
        <v>5</v>
      </c>
    </row>
    <row r="19" spans="1:22" ht="105">
      <c r="A19" s="12" t="s">
        <v>450</v>
      </c>
      <c r="B19" s="13"/>
      <c r="C19" s="13" t="s">
        <v>323</v>
      </c>
      <c r="D19" s="13" t="s">
        <v>451</v>
      </c>
      <c r="E19" s="13" t="s">
        <v>325</v>
      </c>
      <c r="F19" s="13" t="s">
        <v>452</v>
      </c>
      <c r="G19" s="14" t="s">
        <v>327</v>
      </c>
      <c r="H19" s="13" t="s">
        <v>452</v>
      </c>
      <c r="I19" s="13" t="s">
        <v>453</v>
      </c>
      <c r="J19" s="13" t="s">
        <v>335</v>
      </c>
      <c r="K19" s="13" t="s">
        <v>454</v>
      </c>
      <c r="L19" s="13" t="s">
        <v>330</v>
      </c>
      <c r="M19" s="13" t="s">
        <v>455</v>
      </c>
      <c r="N19" s="13" t="s">
        <v>330</v>
      </c>
      <c r="O19" s="13" t="s">
        <v>456</v>
      </c>
      <c r="P19" s="13" t="s">
        <v>330</v>
      </c>
      <c r="Q19" s="13" t="s">
        <v>457</v>
      </c>
      <c r="R19" s="13" t="s">
        <v>330</v>
      </c>
      <c r="S19" s="13" t="s">
        <v>336</v>
      </c>
      <c r="T19" s="7" t="s">
        <v>337</v>
      </c>
      <c r="U19" s="13">
        <v>20</v>
      </c>
      <c r="V19" s="16">
        <v>5</v>
      </c>
    </row>
    <row r="20" spans="1:22" ht="90">
      <c r="A20" s="12" t="s">
        <v>458</v>
      </c>
      <c r="B20" s="13"/>
      <c r="C20" s="13" t="s">
        <v>323</v>
      </c>
      <c r="D20" s="13" t="s">
        <v>459</v>
      </c>
      <c r="E20" s="13" t="s">
        <v>325</v>
      </c>
      <c r="F20" s="13" t="s">
        <v>460</v>
      </c>
      <c r="G20" s="14" t="s">
        <v>327</v>
      </c>
      <c r="H20" s="13" t="s">
        <v>460</v>
      </c>
      <c r="I20" s="13" t="s">
        <v>461</v>
      </c>
      <c r="J20" s="13" t="s">
        <v>335</v>
      </c>
      <c r="K20" s="13" t="s">
        <v>462</v>
      </c>
      <c r="L20" s="13" t="s">
        <v>330</v>
      </c>
      <c r="M20" s="13" t="s">
        <v>463</v>
      </c>
      <c r="N20" s="13" t="s">
        <v>330</v>
      </c>
      <c r="O20" s="13" t="s">
        <v>464</v>
      </c>
      <c r="P20" s="13" t="s">
        <v>335</v>
      </c>
      <c r="Q20" s="13" t="s">
        <v>465</v>
      </c>
      <c r="R20" s="13" t="s">
        <v>330</v>
      </c>
      <c r="S20" s="13" t="s">
        <v>336</v>
      </c>
      <c r="T20" s="7" t="s">
        <v>337</v>
      </c>
      <c r="U20" s="13"/>
      <c r="V20" s="16">
        <v>5</v>
      </c>
    </row>
    <row r="21" spans="1:22" ht="225">
      <c r="A21" s="12" t="s">
        <v>466</v>
      </c>
      <c r="B21" s="13"/>
      <c r="C21" s="13" t="s">
        <v>323</v>
      </c>
      <c r="D21" s="13" t="s">
        <v>467</v>
      </c>
      <c r="E21" s="13" t="s">
        <v>325</v>
      </c>
      <c r="F21" s="13" t="s">
        <v>468</v>
      </c>
      <c r="G21" s="14" t="s">
        <v>327</v>
      </c>
      <c r="H21" s="13" t="s">
        <v>468</v>
      </c>
      <c r="I21" s="13" t="s">
        <v>469</v>
      </c>
      <c r="J21" s="13" t="s">
        <v>335</v>
      </c>
      <c r="K21" s="13" t="s">
        <v>470</v>
      </c>
      <c r="L21" s="13" t="s">
        <v>330</v>
      </c>
      <c r="M21" s="13" t="s">
        <v>471</v>
      </c>
      <c r="N21" s="13" t="s">
        <v>335</v>
      </c>
      <c r="O21" s="13" t="s">
        <v>472</v>
      </c>
      <c r="P21" s="13" t="s">
        <v>335</v>
      </c>
      <c r="Q21" s="13"/>
      <c r="R21" s="13"/>
      <c r="S21" s="13" t="s">
        <v>401</v>
      </c>
      <c r="T21" s="7" t="s">
        <v>402</v>
      </c>
      <c r="U21" s="13">
        <v>20</v>
      </c>
      <c r="V21" s="16">
        <v>5</v>
      </c>
    </row>
    <row r="22" spans="1:22" ht="225">
      <c r="A22" s="12" t="s">
        <v>473</v>
      </c>
      <c r="B22" s="13"/>
      <c r="C22" s="13" t="s">
        <v>323</v>
      </c>
      <c r="D22" s="13" t="s">
        <v>474</v>
      </c>
      <c r="E22" s="13" t="s">
        <v>325</v>
      </c>
      <c r="F22" s="13" t="s">
        <v>475</v>
      </c>
      <c r="G22" s="14" t="s">
        <v>327</v>
      </c>
      <c r="H22" s="13" t="s">
        <v>475</v>
      </c>
      <c r="I22" s="13" t="s">
        <v>476</v>
      </c>
      <c r="J22" s="13" t="s">
        <v>335</v>
      </c>
      <c r="K22" s="13" t="s">
        <v>477</v>
      </c>
      <c r="L22" s="13" t="s">
        <v>335</v>
      </c>
      <c r="M22" s="13" t="s">
        <v>478</v>
      </c>
      <c r="N22" s="13" t="s">
        <v>335</v>
      </c>
      <c r="O22" s="13" t="s">
        <v>479</v>
      </c>
      <c r="P22" s="13" t="s">
        <v>335</v>
      </c>
      <c r="Q22" s="13" t="s">
        <v>480</v>
      </c>
      <c r="R22" s="13"/>
      <c r="S22" s="13" t="s">
        <v>401</v>
      </c>
      <c r="T22" s="7" t="s">
        <v>402</v>
      </c>
      <c r="U22" s="13">
        <v>20</v>
      </c>
      <c r="V22" s="16">
        <v>10</v>
      </c>
    </row>
    <row r="23" spans="1:22" ht="90">
      <c r="A23" s="12" t="s">
        <v>481</v>
      </c>
      <c r="B23" s="13"/>
      <c r="C23" s="13" t="s">
        <v>323</v>
      </c>
      <c r="D23" s="13" t="s">
        <v>482</v>
      </c>
      <c r="E23" s="13" t="s">
        <v>483</v>
      </c>
      <c r="F23" s="13" t="s">
        <v>484</v>
      </c>
      <c r="G23" s="14" t="s">
        <v>327</v>
      </c>
      <c r="H23" s="13" t="s">
        <v>484</v>
      </c>
      <c r="I23" s="13" t="s">
        <v>485</v>
      </c>
      <c r="J23" s="13" t="s">
        <v>335</v>
      </c>
      <c r="K23" s="13" t="s">
        <v>486</v>
      </c>
      <c r="L23" s="13" t="s">
        <v>335</v>
      </c>
      <c r="M23" s="13" t="s">
        <v>487</v>
      </c>
      <c r="N23" s="13" t="s">
        <v>335</v>
      </c>
      <c r="O23" s="13" t="s">
        <v>488</v>
      </c>
      <c r="P23" s="13" t="s">
        <v>335</v>
      </c>
      <c r="Q23" s="13" t="s">
        <v>489</v>
      </c>
      <c r="R23" s="13" t="s">
        <v>335</v>
      </c>
      <c r="S23" s="13"/>
      <c r="T23" s="13"/>
      <c r="U23" s="13">
        <v>20</v>
      </c>
      <c r="V23" s="16">
        <v>5</v>
      </c>
    </row>
    <row r="24" spans="1:22" ht="105">
      <c r="A24" s="12" t="s">
        <v>490</v>
      </c>
      <c r="B24" s="13"/>
      <c r="C24" s="13" t="s">
        <v>323</v>
      </c>
      <c r="D24" s="13" t="s">
        <v>491</v>
      </c>
      <c r="E24" s="13" t="s">
        <v>483</v>
      </c>
      <c r="F24" s="13" t="s">
        <v>492</v>
      </c>
      <c r="G24" s="14" t="s">
        <v>327</v>
      </c>
      <c r="H24" s="13" t="s">
        <v>492</v>
      </c>
      <c r="I24" s="13" t="s">
        <v>493</v>
      </c>
      <c r="J24" s="13" t="s">
        <v>335</v>
      </c>
      <c r="K24" s="13" t="s">
        <v>494</v>
      </c>
      <c r="L24" s="13" t="s">
        <v>335</v>
      </c>
      <c r="M24" s="13" t="s">
        <v>495</v>
      </c>
      <c r="N24" s="13" t="s">
        <v>335</v>
      </c>
      <c r="O24" s="13" t="s">
        <v>379</v>
      </c>
      <c r="P24" s="13" t="s">
        <v>335</v>
      </c>
      <c r="Q24" s="13" t="s">
        <v>496</v>
      </c>
      <c r="R24" s="13"/>
      <c r="S24" s="13" t="s">
        <v>497</v>
      </c>
      <c r="T24" s="7" t="s">
        <v>498</v>
      </c>
      <c r="U24" s="13">
        <v>25</v>
      </c>
      <c r="V24" s="16">
        <v>5</v>
      </c>
    </row>
    <row r="25" spans="1:22" ht="90">
      <c r="A25" s="12" t="s">
        <v>499</v>
      </c>
      <c r="B25" s="13"/>
      <c r="C25" s="13" t="s">
        <v>323</v>
      </c>
      <c r="D25" s="13" t="s">
        <v>500</v>
      </c>
      <c r="E25" s="13" t="s">
        <v>483</v>
      </c>
      <c r="F25" s="13" t="s">
        <v>501</v>
      </c>
      <c r="G25" s="14" t="s">
        <v>327</v>
      </c>
      <c r="H25" s="13" t="s">
        <v>501</v>
      </c>
      <c r="I25" s="13" t="s">
        <v>502</v>
      </c>
      <c r="J25" s="13" t="s">
        <v>335</v>
      </c>
      <c r="K25" s="13" t="s">
        <v>503</v>
      </c>
      <c r="L25" s="13" t="s">
        <v>335</v>
      </c>
      <c r="M25" s="13" t="s">
        <v>504</v>
      </c>
      <c r="N25" s="13" t="s">
        <v>335</v>
      </c>
      <c r="O25" s="13" t="s">
        <v>505</v>
      </c>
      <c r="P25" s="13" t="s">
        <v>335</v>
      </c>
      <c r="Q25" s="13"/>
      <c r="R25" s="13"/>
      <c r="S25" s="13" t="s">
        <v>497</v>
      </c>
      <c r="T25" s="7" t="s">
        <v>498</v>
      </c>
      <c r="U25" s="13">
        <v>15</v>
      </c>
      <c r="V25" s="16">
        <v>10</v>
      </c>
    </row>
    <row r="26" spans="1:22" ht="90">
      <c r="A26" s="12" t="s">
        <v>506</v>
      </c>
      <c r="B26" s="13"/>
      <c r="C26" s="13" t="s">
        <v>323</v>
      </c>
      <c r="D26" s="13" t="s">
        <v>507</v>
      </c>
      <c r="E26" s="13" t="s">
        <v>483</v>
      </c>
      <c r="F26" s="13" t="s">
        <v>508</v>
      </c>
      <c r="G26" s="14" t="s">
        <v>327</v>
      </c>
      <c r="H26" s="13" t="s">
        <v>508</v>
      </c>
      <c r="I26" s="13" t="s">
        <v>509</v>
      </c>
      <c r="J26" s="13" t="s">
        <v>335</v>
      </c>
      <c r="K26" s="13" t="s">
        <v>510</v>
      </c>
      <c r="L26" s="13" t="s">
        <v>335</v>
      </c>
      <c r="M26" s="13" t="s">
        <v>511</v>
      </c>
      <c r="N26" s="13" t="s">
        <v>335</v>
      </c>
      <c r="O26" s="13" t="s">
        <v>512</v>
      </c>
      <c r="P26" s="13" t="s">
        <v>335</v>
      </c>
      <c r="Q26" s="13"/>
      <c r="R26" s="13"/>
      <c r="S26" s="13"/>
      <c r="T26" s="13"/>
      <c r="U26" s="13">
        <v>20</v>
      </c>
      <c r="V26" s="16">
        <v>5</v>
      </c>
    </row>
    <row r="27" spans="1:22" ht="120">
      <c r="A27" s="12" t="s">
        <v>513</v>
      </c>
      <c r="B27" s="13"/>
      <c r="C27" s="13" t="s">
        <v>323</v>
      </c>
      <c r="D27" s="13" t="s">
        <v>514</v>
      </c>
      <c r="E27" s="13" t="s">
        <v>483</v>
      </c>
      <c r="F27" s="13" t="s">
        <v>508</v>
      </c>
      <c r="G27" s="14" t="s">
        <v>327</v>
      </c>
      <c r="H27" s="13" t="s">
        <v>508</v>
      </c>
      <c r="I27" s="13" t="s">
        <v>515</v>
      </c>
      <c r="J27" s="13" t="s">
        <v>335</v>
      </c>
      <c r="K27" s="13" t="s">
        <v>516</v>
      </c>
      <c r="L27" s="13" t="s">
        <v>335</v>
      </c>
      <c r="M27" s="13" t="s">
        <v>517</v>
      </c>
      <c r="N27" s="13" t="s">
        <v>335</v>
      </c>
      <c r="O27" s="13" t="s">
        <v>518</v>
      </c>
      <c r="P27" s="13" t="s">
        <v>335</v>
      </c>
      <c r="Q27" s="13" t="s">
        <v>519</v>
      </c>
      <c r="R27" s="13"/>
      <c r="S27" s="13"/>
      <c r="T27" s="13"/>
      <c r="U27" s="13">
        <v>15</v>
      </c>
      <c r="V27" s="16">
        <v>5</v>
      </c>
    </row>
    <row r="28" spans="1:22" ht="135">
      <c r="A28" s="12" t="s">
        <v>520</v>
      </c>
      <c r="B28" s="13"/>
      <c r="C28" s="13" t="s">
        <v>323</v>
      </c>
      <c r="D28" s="13" t="s">
        <v>521</v>
      </c>
      <c r="E28" s="13" t="s">
        <v>522</v>
      </c>
      <c r="F28" s="13" t="s">
        <v>523</v>
      </c>
      <c r="G28" s="14" t="s">
        <v>327</v>
      </c>
      <c r="H28" s="13" t="s">
        <v>523</v>
      </c>
      <c r="I28" s="13" t="s">
        <v>524</v>
      </c>
      <c r="J28" s="13" t="s">
        <v>335</v>
      </c>
      <c r="K28" s="13" t="s">
        <v>525</v>
      </c>
      <c r="L28" s="13" t="s">
        <v>335</v>
      </c>
      <c r="M28" s="13" t="s">
        <v>526</v>
      </c>
      <c r="N28" s="13" t="s">
        <v>335</v>
      </c>
      <c r="O28" s="13" t="s">
        <v>527</v>
      </c>
      <c r="P28" s="13" t="s">
        <v>335</v>
      </c>
      <c r="Q28" s="13"/>
      <c r="R28" s="13"/>
      <c r="S28" s="13" t="s">
        <v>528</v>
      </c>
      <c r="T28" s="7" t="s">
        <v>529</v>
      </c>
      <c r="U28" s="13">
        <v>20</v>
      </c>
      <c r="V28" s="16">
        <v>5</v>
      </c>
    </row>
    <row r="29" spans="1:22" ht="90">
      <c r="A29" s="12" t="s">
        <v>530</v>
      </c>
      <c r="B29" s="13"/>
      <c r="C29" s="13" t="s">
        <v>323</v>
      </c>
      <c r="D29" s="13" t="s">
        <v>531</v>
      </c>
      <c r="E29" s="13" t="s">
        <v>522</v>
      </c>
      <c r="F29" s="13" t="s">
        <v>532</v>
      </c>
      <c r="G29" s="14" t="s">
        <v>327</v>
      </c>
      <c r="H29" s="13" t="s">
        <v>532</v>
      </c>
      <c r="I29" s="13" t="s">
        <v>533</v>
      </c>
      <c r="J29" s="13" t="s">
        <v>534</v>
      </c>
      <c r="K29" s="13" t="s">
        <v>535</v>
      </c>
      <c r="L29" s="13" t="s">
        <v>536</v>
      </c>
      <c r="M29" s="13" t="s">
        <v>537</v>
      </c>
      <c r="N29" s="13" t="s">
        <v>536</v>
      </c>
      <c r="O29" s="13" t="s">
        <v>538</v>
      </c>
      <c r="P29" s="13" t="s">
        <v>536</v>
      </c>
      <c r="Q29" s="17" t="s">
        <v>539</v>
      </c>
      <c r="R29" s="13" t="s">
        <v>534</v>
      </c>
      <c r="S29" s="13" t="s">
        <v>528</v>
      </c>
      <c r="T29" s="7" t="s">
        <v>529</v>
      </c>
      <c r="U29" s="13">
        <v>15</v>
      </c>
      <c r="V29" s="16">
        <v>5</v>
      </c>
    </row>
    <row r="30" spans="1:22" ht="105">
      <c r="A30" s="12" t="s">
        <v>540</v>
      </c>
      <c r="B30" s="13"/>
      <c r="C30" s="13" t="s">
        <v>323</v>
      </c>
      <c r="D30" s="13" t="s">
        <v>541</v>
      </c>
      <c r="E30" s="13" t="s">
        <v>522</v>
      </c>
      <c r="F30" s="13" t="s">
        <v>542</v>
      </c>
      <c r="G30" s="14" t="s">
        <v>327</v>
      </c>
      <c r="H30" s="13" t="s">
        <v>542</v>
      </c>
      <c r="I30" s="13" t="s">
        <v>543</v>
      </c>
      <c r="J30" s="13" t="s">
        <v>335</v>
      </c>
      <c r="K30" s="13" t="s">
        <v>544</v>
      </c>
      <c r="L30" s="13" t="s">
        <v>335</v>
      </c>
      <c r="M30" s="13" t="s">
        <v>545</v>
      </c>
      <c r="N30" s="13" t="s">
        <v>335</v>
      </c>
      <c r="O30" s="13" t="s">
        <v>546</v>
      </c>
      <c r="P30" s="13" t="s">
        <v>335</v>
      </c>
      <c r="Q30" s="13" t="s">
        <v>547</v>
      </c>
      <c r="R30" s="13"/>
      <c r="S30" s="13" t="s">
        <v>528</v>
      </c>
      <c r="T30" s="7" t="s">
        <v>529</v>
      </c>
      <c r="U30" s="13">
        <v>15</v>
      </c>
      <c r="V30" s="16">
        <v>5</v>
      </c>
    </row>
    <row r="31" spans="1:22" ht="105">
      <c r="A31" s="12" t="s">
        <v>548</v>
      </c>
      <c r="B31" s="13"/>
      <c r="C31" s="13" t="s">
        <v>323</v>
      </c>
      <c r="D31" s="13" t="s">
        <v>549</v>
      </c>
      <c r="E31" s="13" t="s">
        <v>522</v>
      </c>
      <c r="F31" s="13" t="s">
        <v>550</v>
      </c>
      <c r="G31" s="14" t="s">
        <v>327</v>
      </c>
      <c r="H31" s="13" t="s">
        <v>550</v>
      </c>
      <c r="I31" s="13" t="s">
        <v>551</v>
      </c>
      <c r="J31" s="13" t="s">
        <v>335</v>
      </c>
      <c r="K31" s="13" t="s">
        <v>552</v>
      </c>
      <c r="L31" s="13" t="s">
        <v>335</v>
      </c>
      <c r="M31" s="13" t="s">
        <v>553</v>
      </c>
      <c r="N31" s="13" t="s">
        <v>335</v>
      </c>
      <c r="O31" s="13" t="s">
        <v>554</v>
      </c>
      <c r="P31" s="13" t="s">
        <v>335</v>
      </c>
      <c r="Q31" s="13"/>
      <c r="R31" s="13"/>
      <c r="S31" s="13"/>
      <c r="T31" s="13"/>
      <c r="U31" s="13">
        <v>15</v>
      </c>
      <c r="V31" s="16">
        <v>3</v>
      </c>
    </row>
    <row r="32" spans="1:22" ht="75">
      <c r="A32" s="12" t="s">
        <v>555</v>
      </c>
      <c r="B32" s="13"/>
      <c r="C32" s="13" t="s">
        <v>323</v>
      </c>
      <c r="D32" s="13" t="s">
        <v>556</v>
      </c>
      <c r="E32" s="13" t="s">
        <v>522</v>
      </c>
      <c r="F32" s="13" t="s">
        <v>557</v>
      </c>
      <c r="G32" s="14" t="s">
        <v>327</v>
      </c>
      <c r="H32" s="13" t="s">
        <v>557</v>
      </c>
      <c r="I32" s="13" t="s">
        <v>558</v>
      </c>
      <c r="J32" s="13" t="s">
        <v>559</v>
      </c>
      <c r="K32" s="13" t="s">
        <v>560</v>
      </c>
      <c r="L32" s="13" t="s">
        <v>559</v>
      </c>
      <c r="M32" s="13" t="s">
        <v>561</v>
      </c>
      <c r="N32" s="13" t="s">
        <v>559</v>
      </c>
      <c r="O32" s="13" t="s">
        <v>562</v>
      </c>
      <c r="P32" s="13" t="s">
        <v>559</v>
      </c>
      <c r="Q32" s="13"/>
      <c r="R32" s="13"/>
      <c r="S32" s="13"/>
      <c r="T32" s="13"/>
      <c r="U32" s="13">
        <v>15</v>
      </c>
      <c r="V32" s="16">
        <v>3</v>
      </c>
    </row>
    <row r="33" spans="1:22" ht="135">
      <c r="A33" s="12" t="s">
        <v>563</v>
      </c>
      <c r="B33" s="13"/>
      <c r="C33" s="13" t="s">
        <v>323</v>
      </c>
      <c r="D33" s="13" t="s">
        <v>564</v>
      </c>
      <c r="E33" s="13" t="s">
        <v>522</v>
      </c>
      <c r="F33" s="13" t="s">
        <v>565</v>
      </c>
      <c r="G33" s="14" t="s">
        <v>327</v>
      </c>
      <c r="H33" s="13" t="s">
        <v>565</v>
      </c>
      <c r="I33" s="13" t="s">
        <v>566</v>
      </c>
      <c r="J33" s="13" t="s">
        <v>335</v>
      </c>
      <c r="K33" s="13" t="s">
        <v>544</v>
      </c>
      <c r="L33" s="13" t="s">
        <v>335</v>
      </c>
      <c r="M33" s="13" t="s">
        <v>545</v>
      </c>
      <c r="N33" s="13" t="s">
        <v>335</v>
      </c>
      <c r="O33" s="13" t="s">
        <v>546</v>
      </c>
      <c r="P33" s="13" t="s">
        <v>335</v>
      </c>
      <c r="Q33" s="13" t="s">
        <v>567</v>
      </c>
      <c r="R33" s="13"/>
      <c r="S33" s="13" t="s">
        <v>528</v>
      </c>
      <c r="T33" s="7" t="s">
        <v>529</v>
      </c>
      <c r="U33" s="13">
        <v>5</v>
      </c>
      <c r="V33" s="16">
        <v>3</v>
      </c>
    </row>
    <row r="34" spans="1:22" ht="105">
      <c r="A34" s="12" t="s">
        <v>568</v>
      </c>
      <c r="B34" s="13"/>
      <c r="C34" s="13" t="s">
        <v>323</v>
      </c>
      <c r="D34" s="13" t="s">
        <v>569</v>
      </c>
      <c r="E34" s="13" t="s">
        <v>522</v>
      </c>
      <c r="F34" s="13" t="s">
        <v>570</v>
      </c>
      <c r="G34" s="14" t="s">
        <v>327</v>
      </c>
      <c r="H34" s="13" t="s">
        <v>570</v>
      </c>
      <c r="I34" s="13" t="s">
        <v>571</v>
      </c>
      <c r="J34" s="13" t="s">
        <v>335</v>
      </c>
      <c r="K34" s="13" t="s">
        <v>572</v>
      </c>
      <c r="L34" s="13" t="s">
        <v>335</v>
      </c>
      <c r="M34" s="13" t="s">
        <v>573</v>
      </c>
      <c r="N34" s="13" t="s">
        <v>335</v>
      </c>
      <c r="O34" s="13" t="s">
        <v>379</v>
      </c>
      <c r="P34" s="13" t="s">
        <v>335</v>
      </c>
      <c r="Q34" s="13"/>
      <c r="R34" s="13"/>
      <c r="S34" s="13"/>
      <c r="T34" s="13"/>
      <c r="U34" s="13">
        <v>15</v>
      </c>
      <c r="V34" s="16">
        <v>5</v>
      </c>
    </row>
    <row r="35" spans="1:22" ht="120">
      <c r="A35" s="12" t="s">
        <v>574</v>
      </c>
      <c r="B35" s="13"/>
      <c r="C35" s="13" t="s">
        <v>323</v>
      </c>
      <c r="D35" s="13" t="s">
        <v>575</v>
      </c>
      <c r="E35" s="13" t="s">
        <v>522</v>
      </c>
      <c r="F35" s="13" t="s">
        <v>576</v>
      </c>
      <c r="G35" s="14" t="s">
        <v>327</v>
      </c>
      <c r="H35" s="13" t="s">
        <v>576</v>
      </c>
      <c r="I35" s="13" t="s">
        <v>577</v>
      </c>
      <c r="J35" s="13" t="s">
        <v>335</v>
      </c>
      <c r="K35" s="13" t="s">
        <v>578</v>
      </c>
      <c r="L35" s="13" t="s">
        <v>335</v>
      </c>
      <c r="M35" s="13" t="s">
        <v>579</v>
      </c>
      <c r="N35" s="13" t="s">
        <v>335</v>
      </c>
      <c r="O35" s="13" t="s">
        <v>527</v>
      </c>
      <c r="P35" s="13" t="s">
        <v>335</v>
      </c>
      <c r="Q35" s="13"/>
      <c r="R35" s="13"/>
      <c r="S35" s="13"/>
      <c r="T35" s="13"/>
      <c r="U35" s="13">
        <v>5</v>
      </c>
      <c r="V35" s="16">
        <v>5</v>
      </c>
    </row>
    <row r="36" spans="1:22" ht="180">
      <c r="A36" s="12" t="s">
        <v>580</v>
      </c>
      <c r="B36" s="13"/>
      <c r="C36" s="13" t="s">
        <v>323</v>
      </c>
      <c r="D36" s="13" t="s">
        <v>581</v>
      </c>
      <c r="E36" s="13" t="s">
        <v>582</v>
      </c>
      <c r="F36" s="13" t="s">
        <v>583</v>
      </c>
      <c r="G36" s="14" t="s">
        <v>327</v>
      </c>
      <c r="H36" s="13" t="s">
        <v>583</v>
      </c>
      <c r="I36" s="13" t="s">
        <v>584</v>
      </c>
      <c r="J36" s="13" t="s">
        <v>585</v>
      </c>
      <c r="K36" s="13" t="s">
        <v>586</v>
      </c>
      <c r="L36" s="13" t="s">
        <v>585</v>
      </c>
      <c r="M36" s="13" t="s">
        <v>587</v>
      </c>
      <c r="N36" s="13" t="s">
        <v>585</v>
      </c>
      <c r="O36" s="13" t="s">
        <v>379</v>
      </c>
      <c r="P36" s="13" t="s">
        <v>585</v>
      </c>
      <c r="Q36" s="13" t="s">
        <v>588</v>
      </c>
      <c r="R36" s="13" t="s">
        <v>585</v>
      </c>
      <c r="S36" s="13"/>
      <c r="T36" s="13"/>
      <c r="U36" s="13">
        <v>20</v>
      </c>
      <c r="V36" s="16">
        <v>5</v>
      </c>
    </row>
    <row r="37" spans="1:22" ht="165">
      <c r="A37" s="12" t="s">
        <v>589</v>
      </c>
      <c r="B37" s="13"/>
      <c r="C37" s="13" t="s">
        <v>323</v>
      </c>
      <c r="D37" s="13" t="s">
        <v>590</v>
      </c>
      <c r="E37" s="13" t="s">
        <v>582</v>
      </c>
      <c r="F37" s="13" t="s">
        <v>583</v>
      </c>
      <c r="G37" s="14" t="s">
        <v>327</v>
      </c>
      <c r="H37" s="13" t="s">
        <v>583</v>
      </c>
      <c r="I37" s="13" t="s">
        <v>591</v>
      </c>
      <c r="J37" s="13" t="s">
        <v>592</v>
      </c>
      <c r="K37" s="13" t="s">
        <v>593</v>
      </c>
      <c r="L37" s="13" t="s">
        <v>594</v>
      </c>
      <c r="M37" s="13" t="s">
        <v>595</v>
      </c>
      <c r="N37" s="13" t="s">
        <v>592</v>
      </c>
      <c r="O37" s="13" t="s">
        <v>596</v>
      </c>
      <c r="P37" s="13" t="s">
        <v>592</v>
      </c>
      <c r="Q37" s="13" t="s">
        <v>496</v>
      </c>
      <c r="R37" s="13" t="s">
        <v>594</v>
      </c>
      <c r="S37" s="13"/>
      <c r="T37" s="13"/>
      <c r="U37" s="13">
        <v>15</v>
      </c>
      <c r="V37" s="16">
        <v>3</v>
      </c>
    </row>
    <row r="38" spans="1:22" ht="375">
      <c r="A38" s="12" t="s">
        <v>597</v>
      </c>
      <c r="B38" s="13"/>
      <c r="C38" s="13" t="s">
        <v>323</v>
      </c>
      <c r="D38" s="13" t="s">
        <v>598</v>
      </c>
      <c r="E38" s="13" t="s">
        <v>582</v>
      </c>
      <c r="F38" s="13" t="s">
        <v>599</v>
      </c>
      <c r="G38" s="14" t="s">
        <v>327</v>
      </c>
      <c r="H38" s="13" t="s">
        <v>599</v>
      </c>
      <c r="I38" s="13" t="s">
        <v>600</v>
      </c>
      <c r="J38" s="13" t="s">
        <v>594</v>
      </c>
      <c r="K38" s="13" t="s">
        <v>601</v>
      </c>
      <c r="L38" s="13" t="s">
        <v>594</v>
      </c>
      <c r="M38" s="13" t="s">
        <v>602</v>
      </c>
      <c r="N38" s="13" t="s">
        <v>603</v>
      </c>
      <c r="O38" s="13" t="s">
        <v>604</v>
      </c>
      <c r="P38" s="13" t="s">
        <v>603</v>
      </c>
      <c r="Q38" s="13" t="s">
        <v>605</v>
      </c>
      <c r="R38" s="13"/>
      <c r="S38" s="13"/>
      <c r="T38" s="13"/>
      <c r="U38" s="13">
        <v>30</v>
      </c>
      <c r="V38" s="16">
        <v>5</v>
      </c>
    </row>
    <row r="39" spans="1:22" ht="90">
      <c r="A39" s="12" t="s">
        <v>606</v>
      </c>
      <c r="B39" s="13"/>
      <c r="C39" s="13" t="s">
        <v>323</v>
      </c>
      <c r="D39" s="13" t="s">
        <v>598</v>
      </c>
      <c r="E39" s="13" t="s">
        <v>582</v>
      </c>
      <c r="F39" s="13" t="s">
        <v>599</v>
      </c>
      <c r="G39" s="14" t="s">
        <v>327</v>
      </c>
      <c r="H39" s="13" t="s">
        <v>599</v>
      </c>
      <c r="I39" s="13" t="s">
        <v>600</v>
      </c>
      <c r="J39" s="13" t="s">
        <v>594</v>
      </c>
      <c r="K39" s="13" t="s">
        <v>601</v>
      </c>
      <c r="L39" s="13" t="s">
        <v>594</v>
      </c>
      <c r="M39" s="13" t="s">
        <v>607</v>
      </c>
      <c r="N39" s="13" t="s">
        <v>608</v>
      </c>
      <c r="O39" s="13" t="s">
        <v>379</v>
      </c>
      <c r="P39" s="13" t="s">
        <v>609</v>
      </c>
      <c r="Q39" s="13" t="s">
        <v>610</v>
      </c>
      <c r="R39" s="7" t="s">
        <v>611</v>
      </c>
      <c r="S39" s="13" t="s">
        <v>612</v>
      </c>
      <c r="T39" s="7" t="s">
        <v>613</v>
      </c>
      <c r="U39" s="13">
        <v>30</v>
      </c>
      <c r="V39" s="16">
        <v>2</v>
      </c>
    </row>
    <row r="40" spans="1:22" ht="165">
      <c r="A40" s="12" t="s">
        <v>614</v>
      </c>
      <c r="B40" s="13"/>
      <c r="C40" s="13" t="s">
        <v>323</v>
      </c>
      <c r="D40" s="13" t="s">
        <v>615</v>
      </c>
      <c r="E40" s="13" t="s">
        <v>582</v>
      </c>
      <c r="F40" s="13" t="s">
        <v>616</v>
      </c>
      <c r="G40" s="14" t="s">
        <v>327</v>
      </c>
      <c r="H40" s="13" t="s">
        <v>616</v>
      </c>
      <c r="I40" s="13" t="s">
        <v>617</v>
      </c>
      <c r="J40" s="13" t="s">
        <v>618</v>
      </c>
      <c r="K40" s="13" t="s">
        <v>619</v>
      </c>
      <c r="L40" s="13" t="s">
        <v>618</v>
      </c>
      <c r="M40" s="13" t="s">
        <v>620</v>
      </c>
      <c r="N40" s="13" t="s">
        <v>618</v>
      </c>
      <c r="O40" s="13" t="s">
        <v>379</v>
      </c>
      <c r="P40" s="13" t="s">
        <v>618</v>
      </c>
      <c r="Q40" s="13"/>
      <c r="R40" s="13"/>
      <c r="S40" s="13" t="s">
        <v>621</v>
      </c>
      <c r="T40" s="7" t="s">
        <v>622</v>
      </c>
      <c r="U40" s="13">
        <v>25</v>
      </c>
      <c r="V40" s="16">
        <v>5</v>
      </c>
    </row>
    <row r="41" spans="1:22" ht="135">
      <c r="A41" s="12" t="s">
        <v>623</v>
      </c>
      <c r="B41" s="13"/>
      <c r="C41" s="13" t="s">
        <v>323</v>
      </c>
      <c r="D41" s="13" t="s">
        <v>624</v>
      </c>
      <c r="E41" s="13" t="s">
        <v>582</v>
      </c>
      <c r="F41" s="13" t="s">
        <v>625</v>
      </c>
      <c r="G41" s="14" t="s">
        <v>327</v>
      </c>
      <c r="H41" s="13" t="s">
        <v>625</v>
      </c>
      <c r="I41" s="13" t="s">
        <v>626</v>
      </c>
      <c r="J41" s="7" t="s">
        <v>627</v>
      </c>
      <c r="K41" s="13" t="s">
        <v>601</v>
      </c>
      <c r="L41" s="7" t="s">
        <v>628</v>
      </c>
      <c r="M41" s="13" t="s">
        <v>629</v>
      </c>
      <c r="N41" s="7" t="s">
        <v>630</v>
      </c>
      <c r="O41" s="13" t="s">
        <v>631</v>
      </c>
      <c r="P41" s="13" t="s">
        <v>632</v>
      </c>
      <c r="Q41" s="13" t="s">
        <v>633</v>
      </c>
      <c r="R41" s="13" t="s">
        <v>634</v>
      </c>
      <c r="S41" s="13"/>
      <c r="T41" s="13"/>
      <c r="U41" s="13">
        <v>20</v>
      </c>
      <c r="V41" s="16">
        <v>5</v>
      </c>
    </row>
    <row r="42" spans="1:22" ht="150">
      <c r="A42" s="12" t="s">
        <v>635</v>
      </c>
      <c r="B42" s="13"/>
      <c r="C42" s="13" t="s">
        <v>323</v>
      </c>
      <c r="D42" s="13" t="s">
        <v>624</v>
      </c>
      <c r="E42" s="13" t="s">
        <v>582</v>
      </c>
      <c r="F42" s="13" t="s">
        <v>625</v>
      </c>
      <c r="G42" s="14" t="s">
        <v>327</v>
      </c>
      <c r="H42" s="13" t="s">
        <v>625</v>
      </c>
      <c r="I42" s="13" t="s">
        <v>626</v>
      </c>
      <c r="J42" s="7" t="s">
        <v>627</v>
      </c>
      <c r="K42" s="13" t="s">
        <v>601</v>
      </c>
      <c r="L42" s="7" t="s">
        <v>628</v>
      </c>
      <c r="M42" s="13" t="s">
        <v>636</v>
      </c>
      <c r="N42" s="7" t="s">
        <v>637</v>
      </c>
      <c r="O42" s="13" t="s">
        <v>638</v>
      </c>
      <c r="P42" s="13" t="s">
        <v>639</v>
      </c>
      <c r="Q42" s="13" t="s">
        <v>640</v>
      </c>
      <c r="R42" s="7" t="s">
        <v>627</v>
      </c>
      <c r="S42" s="13"/>
      <c r="T42" s="13"/>
      <c r="U42" s="13">
        <v>15</v>
      </c>
      <c r="V42" s="16">
        <v>5</v>
      </c>
    </row>
    <row r="43" spans="1:22" ht="135">
      <c r="A43" s="12" t="s">
        <v>641</v>
      </c>
      <c r="B43" s="13"/>
      <c r="C43" s="13" t="s">
        <v>323</v>
      </c>
      <c r="D43" s="13" t="s">
        <v>642</v>
      </c>
      <c r="E43" s="13" t="s">
        <v>582</v>
      </c>
      <c r="F43" s="13" t="s">
        <v>643</v>
      </c>
      <c r="G43" s="14" t="s">
        <v>327</v>
      </c>
      <c r="H43" s="13" t="s">
        <v>643</v>
      </c>
      <c r="I43" s="13" t="s">
        <v>644</v>
      </c>
      <c r="J43" s="13" t="s">
        <v>645</v>
      </c>
      <c r="K43" s="13" t="s">
        <v>646</v>
      </c>
      <c r="L43" s="13" t="s">
        <v>645</v>
      </c>
      <c r="M43" s="13" t="s">
        <v>647</v>
      </c>
      <c r="N43" s="13" t="s">
        <v>645</v>
      </c>
      <c r="O43" s="13" t="s">
        <v>379</v>
      </c>
      <c r="P43" s="13" t="s">
        <v>648</v>
      </c>
      <c r="Q43" s="13" t="s">
        <v>649</v>
      </c>
      <c r="R43" s="13" t="s">
        <v>648</v>
      </c>
      <c r="S43" s="13"/>
      <c r="T43" s="13"/>
      <c r="U43" s="13">
        <v>15</v>
      </c>
      <c r="V43" s="16">
        <v>5</v>
      </c>
    </row>
    <row r="44" spans="1:22" ht="240">
      <c r="A44" s="12" t="s">
        <v>650</v>
      </c>
      <c r="B44" s="13"/>
      <c r="C44" s="13" t="s">
        <v>323</v>
      </c>
      <c r="D44" s="13" t="s">
        <v>651</v>
      </c>
      <c r="E44" s="13" t="s">
        <v>582</v>
      </c>
      <c r="F44" s="13" t="s">
        <v>643</v>
      </c>
      <c r="G44" s="14" t="s">
        <v>327</v>
      </c>
      <c r="H44" s="13" t="s">
        <v>643</v>
      </c>
      <c r="I44" s="13" t="s">
        <v>644</v>
      </c>
      <c r="J44" s="7" t="s">
        <v>652</v>
      </c>
      <c r="K44" s="13" t="s">
        <v>653</v>
      </c>
      <c r="L44" s="7" t="s">
        <v>652</v>
      </c>
      <c r="M44" s="13" t="s">
        <v>654</v>
      </c>
      <c r="N44" s="7" t="s">
        <v>628</v>
      </c>
      <c r="O44" s="13" t="s">
        <v>655</v>
      </c>
      <c r="P44" s="7" t="s">
        <v>628</v>
      </c>
      <c r="Q44" s="13" t="s">
        <v>656</v>
      </c>
      <c r="R44" s="7" t="s">
        <v>628</v>
      </c>
      <c r="S44" s="13"/>
      <c r="T44" s="13"/>
      <c r="U44" s="13">
        <v>20</v>
      </c>
      <c r="V44" s="16">
        <v>5</v>
      </c>
    </row>
    <row r="45" spans="1:22" ht="195">
      <c r="A45" s="12" t="s">
        <v>657</v>
      </c>
      <c r="B45" s="13"/>
      <c r="C45" s="13" t="s">
        <v>323</v>
      </c>
      <c r="D45" s="13" t="s">
        <v>658</v>
      </c>
      <c r="E45" s="13" t="s">
        <v>582</v>
      </c>
      <c r="F45" s="13" t="s">
        <v>659</v>
      </c>
      <c r="G45" s="14" t="s">
        <v>327</v>
      </c>
      <c r="H45" s="13" t="s">
        <v>659</v>
      </c>
      <c r="I45" s="13" t="s">
        <v>660</v>
      </c>
      <c r="J45" s="7" t="s">
        <v>661</v>
      </c>
      <c r="K45" s="13" t="s">
        <v>662</v>
      </c>
      <c r="L45" s="7" t="s">
        <v>663</v>
      </c>
      <c r="M45" s="13" t="s">
        <v>664</v>
      </c>
      <c r="N45" s="13" t="s">
        <v>665</v>
      </c>
      <c r="O45" s="13" t="s">
        <v>666</v>
      </c>
      <c r="P45" s="13" t="s">
        <v>667</v>
      </c>
      <c r="Q45" s="13"/>
      <c r="R45" s="13"/>
      <c r="S45" s="13" t="s">
        <v>668</v>
      </c>
      <c r="T45" s="7" t="s">
        <v>669</v>
      </c>
      <c r="U45" s="13">
        <v>35</v>
      </c>
      <c r="V45" s="16">
        <v>5</v>
      </c>
    </row>
    <row r="46" spans="1:22" ht="210">
      <c r="A46" s="12" t="s">
        <v>670</v>
      </c>
      <c r="B46" s="13"/>
      <c r="C46" s="13" t="s">
        <v>323</v>
      </c>
      <c r="D46" s="13" t="s">
        <v>671</v>
      </c>
      <c r="E46" s="13" t="s">
        <v>582</v>
      </c>
      <c r="F46" s="13" t="s">
        <v>672</v>
      </c>
      <c r="G46" s="14" t="s">
        <v>327</v>
      </c>
      <c r="H46" s="13" t="s">
        <v>672</v>
      </c>
      <c r="I46" s="13" t="s">
        <v>673</v>
      </c>
      <c r="J46" s="7" t="s">
        <v>674</v>
      </c>
      <c r="K46" s="13" t="s">
        <v>662</v>
      </c>
      <c r="L46" s="13" t="s">
        <v>675</v>
      </c>
      <c r="M46" s="13" t="s">
        <v>676</v>
      </c>
      <c r="N46" s="7" t="s">
        <v>677</v>
      </c>
      <c r="O46" s="13" t="s">
        <v>678</v>
      </c>
      <c r="P46" s="7" t="s">
        <v>677</v>
      </c>
      <c r="Q46" s="13"/>
      <c r="R46" s="13"/>
      <c r="S46" s="13" t="s">
        <v>668</v>
      </c>
      <c r="T46" s="7" t="s">
        <v>669</v>
      </c>
      <c r="U46" s="13">
        <v>10</v>
      </c>
      <c r="V46" s="16">
        <v>5</v>
      </c>
    </row>
    <row r="47" spans="1:22" ht="120">
      <c r="A47" s="12" t="s">
        <v>679</v>
      </c>
      <c r="B47" s="13"/>
      <c r="C47" s="13" t="s">
        <v>323</v>
      </c>
      <c r="D47" s="13" t="s">
        <v>680</v>
      </c>
      <c r="E47" s="13" t="s">
        <v>582</v>
      </c>
      <c r="F47" s="13" t="s">
        <v>681</v>
      </c>
      <c r="G47" s="14" t="s">
        <v>327</v>
      </c>
      <c r="H47" s="13" t="s">
        <v>681</v>
      </c>
      <c r="I47" s="13" t="s">
        <v>682</v>
      </c>
      <c r="J47" s="7" t="s">
        <v>683</v>
      </c>
      <c r="K47" s="13" t="s">
        <v>646</v>
      </c>
      <c r="L47" s="7" t="s">
        <v>683</v>
      </c>
      <c r="M47" s="13" t="s">
        <v>684</v>
      </c>
      <c r="N47" s="7" t="s">
        <v>685</v>
      </c>
      <c r="O47" s="13" t="s">
        <v>686</v>
      </c>
      <c r="P47" s="7" t="s">
        <v>685</v>
      </c>
      <c r="Q47" s="13"/>
      <c r="R47" s="13"/>
      <c r="S47" s="13" t="s">
        <v>612</v>
      </c>
      <c r="T47" s="7" t="s">
        <v>613</v>
      </c>
      <c r="U47" s="13">
        <v>15</v>
      </c>
      <c r="V47" s="16">
        <v>5</v>
      </c>
    </row>
    <row r="48" spans="1:22" ht="90">
      <c r="A48" s="12" t="s">
        <v>687</v>
      </c>
      <c r="B48" s="13"/>
      <c r="C48" s="13" t="s">
        <v>323</v>
      </c>
      <c r="D48" s="13" t="s">
        <v>688</v>
      </c>
      <c r="E48" s="13" t="s">
        <v>582</v>
      </c>
      <c r="F48" s="13" t="s">
        <v>681</v>
      </c>
      <c r="G48" s="14" t="s">
        <v>327</v>
      </c>
      <c r="H48" s="13" t="s">
        <v>681</v>
      </c>
      <c r="I48" s="13" t="s">
        <v>689</v>
      </c>
      <c r="J48" s="13" t="s">
        <v>690</v>
      </c>
      <c r="K48" s="13" t="s">
        <v>662</v>
      </c>
      <c r="L48" s="13" t="s">
        <v>690</v>
      </c>
      <c r="M48" s="13" t="s">
        <v>691</v>
      </c>
      <c r="N48" s="13" t="s">
        <v>690</v>
      </c>
      <c r="O48" s="13" t="s">
        <v>692</v>
      </c>
      <c r="P48" s="13" t="s">
        <v>690</v>
      </c>
      <c r="Q48" s="13" t="s">
        <v>693</v>
      </c>
      <c r="R48" s="7" t="s">
        <v>674</v>
      </c>
      <c r="S48" s="13" t="s">
        <v>668</v>
      </c>
      <c r="T48" s="7" t="s">
        <v>669</v>
      </c>
      <c r="U48" s="13">
        <v>10</v>
      </c>
      <c r="V48" s="16">
        <v>5</v>
      </c>
    </row>
    <row r="49" spans="1:22" ht="195">
      <c r="A49" s="18" t="s">
        <v>694</v>
      </c>
      <c r="B49" s="19"/>
      <c r="C49" s="13" t="s">
        <v>323</v>
      </c>
      <c r="D49" s="13" t="s">
        <v>695</v>
      </c>
      <c r="E49" s="13" t="s">
        <v>582</v>
      </c>
      <c r="F49" s="19" t="s">
        <v>696</v>
      </c>
      <c r="G49" s="14" t="s">
        <v>327</v>
      </c>
      <c r="H49" s="19" t="s">
        <v>696</v>
      </c>
      <c r="I49" s="19" t="s">
        <v>697</v>
      </c>
      <c r="J49" s="19" t="s">
        <v>698</v>
      </c>
      <c r="K49" s="19" t="s">
        <v>662</v>
      </c>
      <c r="L49" s="19" t="s">
        <v>698</v>
      </c>
      <c r="M49" s="19" t="s">
        <v>699</v>
      </c>
      <c r="N49" s="19" t="s">
        <v>698</v>
      </c>
      <c r="O49" s="19" t="s">
        <v>700</v>
      </c>
      <c r="P49" s="19" t="s">
        <v>698</v>
      </c>
      <c r="Q49" s="20" t="s">
        <v>701</v>
      </c>
      <c r="R49" s="19" t="s">
        <v>698</v>
      </c>
      <c r="S49" s="19"/>
      <c r="T49" s="19"/>
      <c r="U49" s="19">
        <v>15</v>
      </c>
      <c r="V49" s="21">
        <v>5</v>
      </c>
    </row>
    <row r="51" spans="1:22" ht="45">
      <c r="A51" s="22" t="s">
        <v>702</v>
      </c>
    </row>
  </sheetData>
  <mergeCells count="10">
    <mergeCell ref="F1:F2"/>
    <mergeCell ref="G1:G2"/>
    <mergeCell ref="H1:T1"/>
    <mergeCell ref="U1:U2"/>
    <mergeCell ref="V1:V2"/>
    <mergeCell ref="A1:A2"/>
    <mergeCell ref="B1:B2"/>
    <mergeCell ref="C1:C2"/>
    <mergeCell ref="D1:D2"/>
    <mergeCell ref="E1:E2"/>
  </mergeCells>
  <hyperlinks>
    <hyperlink ref="N42" r:id="rId1" xr:uid="{00000000-0004-0000-0100-000000000000}"/>
  </hyperlinks>
  <pageMargins left="0.7" right="0.7" top="0.75" bottom="0.75"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W13"/>
  <sheetViews>
    <sheetView topLeftCell="A12" zoomScale="57" zoomScaleNormal="57" workbookViewId="0">
      <selection activeCell="A12" sqref="A12"/>
    </sheetView>
  </sheetViews>
  <sheetFormatPr defaultColWidth="7.42578125" defaultRowHeight="12.75"/>
  <cols>
    <col min="2" max="2" width="15.140625" style="10" customWidth="1"/>
    <col min="3" max="3" width="14" style="10" customWidth="1"/>
    <col min="4" max="4" width="14.5703125" style="10" customWidth="1"/>
    <col min="5" max="5" width="24.28515625" style="10" customWidth="1"/>
    <col min="6" max="6" width="19.140625" style="10" customWidth="1"/>
    <col min="7" max="7" width="11.42578125" style="10" customWidth="1"/>
    <col min="8" max="8" width="18" style="10" customWidth="1"/>
    <col min="9" max="9" width="11.42578125" style="10" customWidth="1"/>
    <col min="10" max="10" width="39.85546875" style="10" customWidth="1"/>
    <col min="11" max="11" width="17.5703125" style="10" customWidth="1"/>
    <col min="12" max="12" width="36" style="10" customWidth="1"/>
    <col min="13" max="13" width="14" style="10" customWidth="1"/>
    <col min="14" max="14" width="37.140625" style="10" customWidth="1"/>
    <col min="15" max="15" width="14" style="10" customWidth="1"/>
    <col min="16" max="16" width="28.140625" style="10" customWidth="1"/>
    <col min="17" max="17" width="19.7109375" style="10" customWidth="1"/>
    <col min="18" max="18" width="62.140625" style="10" customWidth="1"/>
    <col min="19" max="19" width="27.7109375" style="10" customWidth="1"/>
    <col min="20" max="20" width="19.42578125" style="10" customWidth="1"/>
    <col min="21" max="21" width="83.28515625" style="10" customWidth="1"/>
    <col min="22" max="22" width="16.85546875" style="10" customWidth="1"/>
    <col min="23" max="23" width="15.85546875" style="10" customWidth="1"/>
  </cols>
  <sheetData>
    <row r="3" spans="2:23" ht="14.1" customHeight="1">
      <c r="B3" s="3" t="s">
        <v>321</v>
      </c>
      <c r="C3" s="3" t="s">
        <v>0</v>
      </c>
      <c r="D3" s="3" t="s">
        <v>1</v>
      </c>
      <c r="E3" s="3" t="s">
        <v>2</v>
      </c>
      <c r="F3" s="3" t="s">
        <v>3</v>
      </c>
      <c r="G3" s="3" t="s">
        <v>4</v>
      </c>
      <c r="H3" s="3" t="s">
        <v>5</v>
      </c>
      <c r="I3" s="3" t="s">
        <v>6</v>
      </c>
      <c r="J3" s="3"/>
      <c r="K3" s="3"/>
      <c r="L3" s="3"/>
      <c r="M3" s="3"/>
      <c r="N3" s="3"/>
      <c r="O3" s="3"/>
      <c r="P3" s="3"/>
      <c r="Q3" s="3"/>
      <c r="R3" s="3"/>
      <c r="S3" s="3"/>
      <c r="T3" s="3"/>
      <c r="U3" s="3"/>
      <c r="V3" s="3" t="s">
        <v>15</v>
      </c>
      <c r="W3" s="3" t="s">
        <v>16</v>
      </c>
    </row>
    <row r="4" spans="2:23" ht="44.1" customHeight="1">
      <c r="B4" s="3"/>
      <c r="C4" s="3"/>
      <c r="D4" s="3"/>
      <c r="E4" s="3"/>
      <c r="F4" s="3"/>
      <c r="G4" s="3"/>
      <c r="H4" s="3"/>
      <c r="I4" s="7" t="s">
        <v>7</v>
      </c>
      <c r="J4" s="7" t="s">
        <v>8</v>
      </c>
      <c r="K4" s="7" t="s">
        <v>9</v>
      </c>
      <c r="L4" s="7" t="s">
        <v>10</v>
      </c>
      <c r="M4" s="7" t="s">
        <v>9</v>
      </c>
      <c r="N4" s="7" t="s">
        <v>11</v>
      </c>
      <c r="O4" s="7" t="s">
        <v>9</v>
      </c>
      <c r="P4" s="7" t="s">
        <v>12</v>
      </c>
      <c r="Q4" s="7" t="s">
        <v>9</v>
      </c>
      <c r="R4" s="7" t="s">
        <v>13</v>
      </c>
      <c r="S4" s="7" t="s">
        <v>9</v>
      </c>
      <c r="T4" s="7" t="s">
        <v>14</v>
      </c>
      <c r="U4" s="7" t="s">
        <v>9</v>
      </c>
      <c r="V4" s="3"/>
      <c r="W4" s="3"/>
    </row>
    <row r="5" spans="2:23" ht="409.5">
      <c r="B5" s="23" t="s">
        <v>703</v>
      </c>
      <c r="C5" s="14"/>
      <c r="D5" s="14" t="s">
        <v>704</v>
      </c>
      <c r="E5" s="14" t="s">
        <v>705</v>
      </c>
      <c r="F5" s="14" t="s">
        <v>706</v>
      </c>
      <c r="G5" s="14" t="s">
        <v>707</v>
      </c>
      <c r="H5" s="14" t="s">
        <v>708</v>
      </c>
      <c r="I5" s="14" t="s">
        <v>707</v>
      </c>
      <c r="J5" s="24" t="s">
        <v>709</v>
      </c>
      <c r="K5" s="14" t="s">
        <v>710</v>
      </c>
      <c r="L5" s="25" t="s">
        <v>711</v>
      </c>
      <c r="M5" s="14" t="s">
        <v>712</v>
      </c>
      <c r="N5" s="14" t="s">
        <v>713</v>
      </c>
      <c r="O5" s="14" t="s">
        <v>714</v>
      </c>
      <c r="P5" s="24" t="s">
        <v>715</v>
      </c>
      <c r="Q5" s="14" t="s">
        <v>712</v>
      </c>
      <c r="R5" s="26" t="s">
        <v>716</v>
      </c>
      <c r="S5" s="14" t="s">
        <v>717</v>
      </c>
      <c r="T5" s="14" t="s">
        <v>718</v>
      </c>
      <c r="U5" s="14" t="s">
        <v>719</v>
      </c>
      <c r="V5" s="14">
        <v>35</v>
      </c>
      <c r="W5" s="27">
        <v>70</v>
      </c>
    </row>
    <row r="6" spans="2:23" ht="165">
      <c r="B6" s="28" t="s">
        <v>720</v>
      </c>
      <c r="C6" s="29"/>
      <c r="D6" s="14" t="s">
        <v>704</v>
      </c>
      <c r="E6" s="13" t="s">
        <v>721</v>
      </c>
      <c r="F6" s="29" t="s">
        <v>43</v>
      </c>
      <c r="G6" s="13" t="s">
        <v>722</v>
      </c>
      <c r="H6" s="14" t="s">
        <v>22</v>
      </c>
      <c r="I6" s="13" t="s">
        <v>722</v>
      </c>
      <c r="J6" s="7" t="s">
        <v>723</v>
      </c>
      <c r="K6" s="14" t="s">
        <v>724</v>
      </c>
      <c r="L6" s="7" t="s">
        <v>725</v>
      </c>
      <c r="M6" s="14" t="s">
        <v>724</v>
      </c>
      <c r="N6" s="7" t="s">
        <v>726</v>
      </c>
      <c r="O6" s="14" t="s">
        <v>724</v>
      </c>
      <c r="P6" s="30" t="s">
        <v>727</v>
      </c>
      <c r="Q6" s="14" t="s">
        <v>724</v>
      </c>
      <c r="R6" s="31" t="s">
        <v>728</v>
      </c>
      <c r="S6" s="14" t="s">
        <v>724</v>
      </c>
      <c r="T6" s="29" t="s">
        <v>729</v>
      </c>
      <c r="U6" s="14" t="s">
        <v>730</v>
      </c>
      <c r="V6" s="29">
        <v>30</v>
      </c>
      <c r="W6" s="32">
        <v>15</v>
      </c>
    </row>
    <row r="7" spans="2:23" ht="120">
      <c r="B7" s="28" t="s">
        <v>731</v>
      </c>
      <c r="C7" s="29"/>
      <c r="D7" s="14" t="s">
        <v>704</v>
      </c>
      <c r="E7" s="13" t="s">
        <v>732</v>
      </c>
      <c r="F7" s="13" t="s">
        <v>283</v>
      </c>
      <c r="G7" s="13" t="s">
        <v>733</v>
      </c>
      <c r="H7" s="14" t="s">
        <v>22</v>
      </c>
      <c r="I7" s="13" t="s">
        <v>733</v>
      </c>
      <c r="J7" s="7" t="s">
        <v>734</v>
      </c>
      <c r="K7" s="14" t="s">
        <v>724</v>
      </c>
      <c r="L7" s="7" t="s">
        <v>735</v>
      </c>
      <c r="M7" s="14" t="s">
        <v>724</v>
      </c>
      <c r="N7" s="7" t="s">
        <v>736</v>
      </c>
      <c r="O7" s="14" t="s">
        <v>724</v>
      </c>
      <c r="P7" s="13" t="s">
        <v>737</v>
      </c>
      <c r="Q7" s="14" t="s">
        <v>724</v>
      </c>
      <c r="R7" s="7"/>
      <c r="S7" s="14"/>
      <c r="T7" s="13" t="s">
        <v>738</v>
      </c>
      <c r="U7" s="14" t="s">
        <v>739</v>
      </c>
      <c r="V7" s="29">
        <v>30</v>
      </c>
      <c r="W7" s="32">
        <v>15</v>
      </c>
    </row>
    <row r="8" spans="2:23" ht="144">
      <c r="B8" s="28" t="s">
        <v>740</v>
      </c>
      <c r="C8" s="29"/>
      <c r="D8" s="14" t="s">
        <v>704</v>
      </c>
      <c r="E8" s="13" t="s">
        <v>741</v>
      </c>
      <c r="F8" s="13" t="s">
        <v>283</v>
      </c>
      <c r="G8" s="13" t="s">
        <v>742</v>
      </c>
      <c r="H8" s="14" t="s">
        <v>384</v>
      </c>
      <c r="I8" s="13" t="s">
        <v>742</v>
      </c>
      <c r="J8" s="13" t="s">
        <v>743</v>
      </c>
      <c r="K8" s="14" t="s">
        <v>724</v>
      </c>
      <c r="L8" s="13" t="s">
        <v>744</v>
      </c>
      <c r="M8" s="14" t="s">
        <v>724</v>
      </c>
      <c r="N8" s="33" t="s">
        <v>745</v>
      </c>
      <c r="O8" s="14" t="s">
        <v>724</v>
      </c>
      <c r="P8" s="13" t="s">
        <v>746</v>
      </c>
      <c r="Q8" s="14" t="s">
        <v>724</v>
      </c>
      <c r="R8" s="7" t="s">
        <v>747</v>
      </c>
      <c r="S8" s="14" t="s">
        <v>724</v>
      </c>
      <c r="T8" s="13" t="s">
        <v>748</v>
      </c>
      <c r="U8" s="13" t="s">
        <v>749</v>
      </c>
      <c r="V8" s="29">
        <v>35</v>
      </c>
      <c r="W8" s="32">
        <v>15</v>
      </c>
    </row>
    <row r="9" spans="2:23" ht="270">
      <c r="B9" s="12" t="s">
        <v>750</v>
      </c>
      <c r="C9" s="29"/>
      <c r="D9" s="14" t="s">
        <v>704</v>
      </c>
      <c r="E9" s="13" t="s">
        <v>751</v>
      </c>
      <c r="F9" s="13" t="s">
        <v>283</v>
      </c>
      <c r="G9" s="29" t="s">
        <v>752</v>
      </c>
      <c r="H9" s="14" t="s">
        <v>327</v>
      </c>
      <c r="I9" s="29" t="s">
        <v>752</v>
      </c>
      <c r="J9" s="13" t="s">
        <v>753</v>
      </c>
      <c r="K9" s="14" t="s">
        <v>754</v>
      </c>
      <c r="L9" s="13" t="s">
        <v>755</v>
      </c>
      <c r="M9" s="14" t="s">
        <v>724</v>
      </c>
      <c r="N9" s="13" t="s">
        <v>756</v>
      </c>
      <c r="O9" s="14" t="s">
        <v>724</v>
      </c>
      <c r="P9" s="13" t="s">
        <v>757</v>
      </c>
      <c r="Q9" s="14" t="s">
        <v>724</v>
      </c>
      <c r="R9" s="29"/>
      <c r="S9" s="29"/>
      <c r="T9" s="29" t="s">
        <v>758</v>
      </c>
      <c r="U9" s="14" t="s">
        <v>759</v>
      </c>
      <c r="V9" s="29">
        <v>30</v>
      </c>
      <c r="W9" s="32">
        <v>5</v>
      </c>
    </row>
    <row r="10" spans="2:23" ht="237">
      <c r="B10" s="34" t="s">
        <v>760</v>
      </c>
      <c r="C10" s="29"/>
      <c r="D10" s="14" t="s">
        <v>704</v>
      </c>
      <c r="E10" s="13" t="s">
        <v>751</v>
      </c>
      <c r="F10" s="13" t="s">
        <v>283</v>
      </c>
      <c r="G10" s="29" t="s">
        <v>752</v>
      </c>
      <c r="H10" s="14" t="s">
        <v>327</v>
      </c>
      <c r="I10" s="29" t="s">
        <v>752</v>
      </c>
      <c r="J10" s="13" t="s">
        <v>761</v>
      </c>
      <c r="K10" s="14" t="s">
        <v>754</v>
      </c>
      <c r="L10" s="7" t="s">
        <v>762</v>
      </c>
      <c r="M10" s="14" t="s">
        <v>724</v>
      </c>
      <c r="N10" s="13" t="s">
        <v>756</v>
      </c>
      <c r="O10" s="14" t="s">
        <v>724</v>
      </c>
      <c r="P10" s="13" t="s">
        <v>757</v>
      </c>
      <c r="Q10" s="14" t="s">
        <v>724</v>
      </c>
      <c r="R10" s="29"/>
      <c r="S10" s="29"/>
      <c r="T10" s="29" t="s">
        <v>758</v>
      </c>
      <c r="U10" s="14" t="s">
        <v>759</v>
      </c>
      <c r="V10" s="29">
        <v>15</v>
      </c>
      <c r="W10" s="32">
        <v>5</v>
      </c>
    </row>
    <row r="11" spans="2:23" ht="219.75">
      <c r="B11" s="35" t="s">
        <v>763</v>
      </c>
      <c r="C11" s="29"/>
      <c r="D11" s="14" t="s">
        <v>704</v>
      </c>
      <c r="E11" s="13" t="s">
        <v>751</v>
      </c>
      <c r="F11" s="13" t="s">
        <v>283</v>
      </c>
      <c r="G11" s="29" t="s">
        <v>752</v>
      </c>
      <c r="H11" s="14" t="s">
        <v>384</v>
      </c>
      <c r="I11" s="29" t="s">
        <v>752</v>
      </c>
      <c r="J11" s="7" t="s">
        <v>764</v>
      </c>
      <c r="K11" s="14" t="s">
        <v>754</v>
      </c>
      <c r="L11" s="13" t="s">
        <v>765</v>
      </c>
      <c r="M11" s="14" t="s">
        <v>724</v>
      </c>
      <c r="N11" s="13" t="s">
        <v>756</v>
      </c>
      <c r="O11" s="14" t="s">
        <v>724</v>
      </c>
      <c r="P11" s="13" t="s">
        <v>757</v>
      </c>
      <c r="Q11" s="14" t="s">
        <v>724</v>
      </c>
      <c r="R11" s="13" t="s">
        <v>766</v>
      </c>
      <c r="S11" s="14" t="s">
        <v>724</v>
      </c>
      <c r="T11" s="29" t="s">
        <v>758</v>
      </c>
      <c r="U11" s="14" t="s">
        <v>759</v>
      </c>
      <c r="V11" s="29">
        <v>20</v>
      </c>
      <c r="W11" s="32">
        <v>5</v>
      </c>
    </row>
    <row r="12" spans="2:23" ht="120">
      <c r="B12" s="35" t="s">
        <v>767</v>
      </c>
      <c r="C12" s="29"/>
      <c r="D12" s="14" t="s">
        <v>704</v>
      </c>
      <c r="E12" s="13" t="s">
        <v>768</v>
      </c>
      <c r="F12" s="13" t="s">
        <v>769</v>
      </c>
      <c r="G12" s="13" t="s">
        <v>770</v>
      </c>
      <c r="H12" s="14" t="s">
        <v>384</v>
      </c>
      <c r="I12" s="13" t="s">
        <v>770</v>
      </c>
      <c r="J12" s="33" t="s">
        <v>771</v>
      </c>
      <c r="K12" s="14" t="s">
        <v>724</v>
      </c>
      <c r="L12" s="13" t="s">
        <v>772</v>
      </c>
      <c r="M12" s="14" t="s">
        <v>724</v>
      </c>
      <c r="N12" s="13" t="s">
        <v>773</v>
      </c>
      <c r="O12" s="14" t="s">
        <v>724</v>
      </c>
      <c r="P12" s="30" t="s">
        <v>774</v>
      </c>
      <c r="Q12" s="14" t="s">
        <v>724</v>
      </c>
      <c r="R12" s="13" t="s">
        <v>775</v>
      </c>
      <c r="S12" s="14" t="s">
        <v>724</v>
      </c>
      <c r="T12" s="29"/>
      <c r="U12" s="29"/>
      <c r="V12" s="29">
        <v>25</v>
      </c>
      <c r="W12" s="32">
        <v>15</v>
      </c>
    </row>
    <row r="13" spans="2:23" ht="195">
      <c r="B13" s="36" t="s">
        <v>776</v>
      </c>
      <c r="C13" s="29"/>
      <c r="D13" s="14" t="s">
        <v>704</v>
      </c>
      <c r="E13" s="13" t="s">
        <v>777</v>
      </c>
      <c r="F13" s="29" t="s">
        <v>778</v>
      </c>
      <c r="G13" s="29" t="s">
        <v>779</v>
      </c>
      <c r="H13" s="14" t="s">
        <v>384</v>
      </c>
      <c r="I13" s="29" t="s">
        <v>779</v>
      </c>
      <c r="J13" s="15" t="s">
        <v>780</v>
      </c>
      <c r="K13" s="14" t="s">
        <v>724</v>
      </c>
      <c r="L13" s="13" t="s">
        <v>781</v>
      </c>
      <c r="M13" s="14" t="s">
        <v>724</v>
      </c>
      <c r="N13" s="13" t="s">
        <v>782</v>
      </c>
      <c r="O13" s="14" t="s">
        <v>724</v>
      </c>
      <c r="P13" s="14" t="s">
        <v>783</v>
      </c>
      <c r="Q13" s="14" t="s">
        <v>724</v>
      </c>
      <c r="R13" s="14" t="s">
        <v>784</v>
      </c>
      <c r="S13" s="14" t="s">
        <v>724</v>
      </c>
      <c r="T13" s="13" t="s">
        <v>738</v>
      </c>
      <c r="U13" s="14" t="s">
        <v>785</v>
      </c>
      <c r="V13" s="29">
        <v>35</v>
      </c>
      <c r="W13" s="32">
        <v>10</v>
      </c>
    </row>
  </sheetData>
  <mergeCells count="10">
    <mergeCell ref="G3:G4"/>
    <mergeCell ref="H3:H4"/>
    <mergeCell ref="I3:U3"/>
    <mergeCell ref="V3:V4"/>
    <mergeCell ref="W3:W4"/>
    <mergeCell ref="B3:B4"/>
    <mergeCell ref="C3:C4"/>
    <mergeCell ref="D3:D4"/>
    <mergeCell ref="E3:E4"/>
    <mergeCell ref="F3:F4"/>
  </mergeCells>
  <hyperlinks>
    <hyperlink ref="U5" r:id="rId1" xr:uid="{00000000-0004-0000-0200-000000000000}"/>
    <hyperlink ref="U8" r:id="rId2" xr:uid="{00000000-0004-0000-0200-000001000000}"/>
    <hyperlink ref="K9" r:id="rId3" location="Wirkmechanismus" xr:uid="{00000000-0004-0000-0200-000002000000}"/>
    <hyperlink ref="K10" r:id="rId4" location="Wirkmechanismus" xr:uid="{00000000-0004-0000-0200-000003000000}"/>
    <hyperlink ref="K11" r:id="rId5" location="Wirkmechanismus" xr:uid="{00000000-0004-0000-0200-000004000000}"/>
  </hyperlinks>
  <pageMargins left="0.75" right="0.75" top="1" bottom="1"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X47"/>
  <sheetViews>
    <sheetView topLeftCell="A18" zoomScale="57" zoomScaleNormal="57" workbookViewId="0">
      <selection activeCell="A18" sqref="A18"/>
    </sheetView>
  </sheetViews>
  <sheetFormatPr defaultColWidth="7.42578125" defaultRowHeight="12.75"/>
  <cols>
    <col min="2" max="2" width="20.7109375" style="10" customWidth="1"/>
    <col min="3" max="3" width="13.7109375" style="10" customWidth="1"/>
    <col min="4" max="4" width="13.85546875" style="10" customWidth="1"/>
    <col min="5" max="5" width="17.7109375" style="10" customWidth="1"/>
    <col min="6" max="6" width="21.85546875" style="10" customWidth="1"/>
    <col min="7" max="7" width="21" style="10" customWidth="1"/>
    <col min="8" max="8" width="20.5703125" style="10" customWidth="1"/>
    <col min="9" max="9" width="19.42578125" style="10" customWidth="1"/>
    <col min="10" max="10" width="28.5703125" style="10" customWidth="1"/>
    <col min="11" max="11" width="19.28515625" style="10" customWidth="1"/>
    <col min="12" max="12" width="20.7109375" style="10" customWidth="1"/>
    <col min="13" max="13" width="19.7109375" style="10" customWidth="1"/>
    <col min="14" max="14" width="31.140625" style="10" customWidth="1"/>
    <col min="15" max="15" width="13.7109375" style="10" customWidth="1"/>
    <col min="16" max="16" width="32.42578125" style="10" customWidth="1"/>
    <col min="17" max="17" width="13.7109375" style="10" customWidth="1"/>
    <col min="18" max="18" width="33.42578125" style="10" customWidth="1"/>
    <col min="19" max="21" width="13.7109375" style="10" customWidth="1"/>
    <col min="22" max="22" width="19.28515625" style="10" customWidth="1"/>
    <col min="23" max="23" width="20" style="10" customWidth="1"/>
  </cols>
  <sheetData>
    <row r="2" spans="2:24">
      <c r="W2" s="3"/>
    </row>
    <row r="3" spans="2:24" ht="14.1" customHeight="1">
      <c r="B3" s="3" t="s">
        <v>321</v>
      </c>
      <c r="C3" s="3" t="s">
        <v>0</v>
      </c>
      <c r="D3" s="3" t="s">
        <v>1</v>
      </c>
      <c r="E3" s="3" t="s">
        <v>2</v>
      </c>
      <c r="F3" s="3" t="s">
        <v>3</v>
      </c>
      <c r="G3" s="3" t="s">
        <v>4</v>
      </c>
      <c r="H3" s="3" t="s">
        <v>5</v>
      </c>
      <c r="I3" s="3" t="s">
        <v>6</v>
      </c>
      <c r="J3" s="3"/>
      <c r="K3" s="3"/>
      <c r="L3" s="3"/>
      <c r="M3" s="3"/>
      <c r="N3" s="3"/>
      <c r="O3" s="3"/>
      <c r="P3" s="3"/>
      <c r="Q3" s="3"/>
      <c r="R3" s="3"/>
      <c r="S3" s="3"/>
      <c r="T3" s="3"/>
      <c r="U3" s="3"/>
      <c r="W3" s="3"/>
    </row>
    <row r="4" spans="2:24" ht="60">
      <c r="B4" s="3"/>
      <c r="C4" s="3"/>
      <c r="D4" s="3"/>
      <c r="E4" s="3"/>
      <c r="F4" s="3"/>
      <c r="G4" s="3"/>
      <c r="H4" s="3"/>
      <c r="I4" s="7" t="s">
        <v>7</v>
      </c>
      <c r="J4" s="7" t="s">
        <v>8</v>
      </c>
      <c r="K4" s="7" t="s">
        <v>9</v>
      </c>
      <c r="L4" s="7" t="s">
        <v>10</v>
      </c>
      <c r="M4" s="7" t="s">
        <v>9</v>
      </c>
      <c r="N4" s="7" t="s">
        <v>11</v>
      </c>
      <c r="O4" s="7" t="s">
        <v>9</v>
      </c>
      <c r="P4" s="7" t="s">
        <v>12</v>
      </c>
      <c r="Q4" s="7" t="s">
        <v>9</v>
      </c>
      <c r="R4" s="7" t="s">
        <v>13</v>
      </c>
      <c r="S4" s="7" t="s">
        <v>9</v>
      </c>
      <c r="T4" s="7" t="s">
        <v>14</v>
      </c>
      <c r="U4" s="7" t="s">
        <v>9</v>
      </c>
      <c r="V4" s="6" t="s">
        <v>15</v>
      </c>
      <c r="W4" s="6" t="s">
        <v>16</v>
      </c>
    </row>
    <row r="5" spans="2:24" ht="98.85" customHeight="1">
      <c r="B5" s="23" t="s">
        <v>786</v>
      </c>
      <c r="C5" s="23"/>
      <c r="D5" s="23" t="s">
        <v>787</v>
      </c>
      <c r="E5" s="23" t="s">
        <v>788</v>
      </c>
      <c r="F5" s="23" t="s">
        <v>789</v>
      </c>
      <c r="G5" s="23" t="s">
        <v>790</v>
      </c>
      <c r="H5" s="23" t="s">
        <v>384</v>
      </c>
      <c r="I5" s="23" t="s">
        <v>790</v>
      </c>
      <c r="J5" s="23" t="s">
        <v>791</v>
      </c>
      <c r="K5" s="23" t="s">
        <v>792</v>
      </c>
      <c r="L5" s="23" t="s">
        <v>793</v>
      </c>
      <c r="M5" s="23" t="s">
        <v>792</v>
      </c>
      <c r="N5" s="23" t="s">
        <v>794</v>
      </c>
      <c r="O5" s="23" t="s">
        <v>792</v>
      </c>
      <c r="P5" s="23" t="s">
        <v>795</v>
      </c>
      <c r="Q5" s="23" t="s">
        <v>792</v>
      </c>
      <c r="R5" s="37" t="s">
        <v>796</v>
      </c>
      <c r="S5" s="23" t="s">
        <v>797</v>
      </c>
      <c r="T5" s="23" t="s">
        <v>798</v>
      </c>
      <c r="U5" s="7" t="s">
        <v>799</v>
      </c>
      <c r="V5" s="23">
        <v>35</v>
      </c>
      <c r="W5" s="38">
        <v>15</v>
      </c>
      <c r="X5" s="7"/>
    </row>
    <row r="6" spans="2:24" ht="168" customHeight="1">
      <c r="B6" s="23" t="s">
        <v>800</v>
      </c>
      <c r="C6" s="23"/>
      <c r="D6" s="23" t="s">
        <v>787</v>
      </c>
      <c r="E6" s="23" t="s">
        <v>801</v>
      </c>
      <c r="F6" s="23" t="s">
        <v>789</v>
      </c>
      <c r="G6" s="23" t="s">
        <v>802</v>
      </c>
      <c r="H6" s="23" t="s">
        <v>803</v>
      </c>
      <c r="I6" s="23" t="s">
        <v>804</v>
      </c>
      <c r="J6" s="23" t="s">
        <v>805</v>
      </c>
      <c r="K6" s="23" t="s">
        <v>792</v>
      </c>
      <c r="L6" s="23" t="s">
        <v>806</v>
      </c>
      <c r="M6" s="23" t="s">
        <v>792</v>
      </c>
      <c r="N6" s="23" t="s">
        <v>807</v>
      </c>
      <c r="O6" s="23" t="s">
        <v>792</v>
      </c>
      <c r="P6" s="23" t="s">
        <v>808</v>
      </c>
      <c r="Q6" s="23" t="s">
        <v>792</v>
      </c>
      <c r="R6" s="37" t="s">
        <v>809</v>
      </c>
      <c r="S6" s="23" t="s">
        <v>792</v>
      </c>
      <c r="T6" s="23" t="s">
        <v>810</v>
      </c>
      <c r="U6" s="7" t="s">
        <v>811</v>
      </c>
      <c r="V6" s="23">
        <v>40</v>
      </c>
      <c r="W6" s="23">
        <v>5</v>
      </c>
    </row>
    <row r="7" spans="2:24" ht="153" customHeight="1">
      <c r="B7" s="23" t="s">
        <v>812</v>
      </c>
      <c r="C7" s="23"/>
      <c r="D7" s="23" t="s">
        <v>787</v>
      </c>
      <c r="E7" s="23" t="s">
        <v>813</v>
      </c>
      <c r="F7" s="23" t="s">
        <v>789</v>
      </c>
      <c r="G7" s="23" t="s">
        <v>814</v>
      </c>
      <c r="H7" s="23" t="s">
        <v>803</v>
      </c>
      <c r="I7" s="23" t="s">
        <v>815</v>
      </c>
      <c r="J7" s="23" t="s">
        <v>816</v>
      </c>
      <c r="K7" s="23" t="s">
        <v>792</v>
      </c>
      <c r="L7" s="23" t="s">
        <v>817</v>
      </c>
      <c r="M7" s="23" t="s">
        <v>792</v>
      </c>
      <c r="N7" s="23" t="s">
        <v>818</v>
      </c>
      <c r="O7" s="23" t="s">
        <v>792</v>
      </c>
      <c r="P7" s="23" t="s">
        <v>819</v>
      </c>
      <c r="Q7" s="23" t="s">
        <v>792</v>
      </c>
      <c r="R7" s="37" t="s">
        <v>820</v>
      </c>
      <c r="S7" s="23" t="s">
        <v>792</v>
      </c>
      <c r="T7" s="23"/>
      <c r="U7" s="23"/>
      <c r="V7" s="23">
        <v>25</v>
      </c>
      <c r="W7" s="23">
        <v>5</v>
      </c>
    </row>
    <row r="8" spans="2:24" ht="177.4" customHeight="1">
      <c r="B8" s="23" t="s">
        <v>821</v>
      </c>
      <c r="C8" s="23"/>
      <c r="D8" s="23" t="s">
        <v>787</v>
      </c>
      <c r="E8" s="23" t="s">
        <v>822</v>
      </c>
      <c r="F8" s="23" t="s">
        <v>789</v>
      </c>
      <c r="G8" s="23" t="s">
        <v>823</v>
      </c>
      <c r="H8" s="23" t="s">
        <v>824</v>
      </c>
      <c r="I8" s="23" t="s">
        <v>823</v>
      </c>
      <c r="J8" s="23" t="s">
        <v>825</v>
      </c>
      <c r="K8" s="23" t="s">
        <v>826</v>
      </c>
      <c r="L8" s="23" t="s">
        <v>827</v>
      </c>
      <c r="M8" s="23" t="s">
        <v>792</v>
      </c>
      <c r="N8" s="23" t="s">
        <v>828</v>
      </c>
      <c r="O8" s="23" t="s">
        <v>792</v>
      </c>
      <c r="P8" s="23" t="s">
        <v>829</v>
      </c>
      <c r="Q8" s="23" t="s">
        <v>792</v>
      </c>
      <c r="R8" s="39" t="s">
        <v>830</v>
      </c>
      <c r="S8" s="23" t="s">
        <v>792</v>
      </c>
      <c r="T8" s="23"/>
      <c r="U8" s="23"/>
      <c r="V8" s="23">
        <v>25</v>
      </c>
      <c r="W8" s="23">
        <v>5</v>
      </c>
    </row>
    <row r="9" spans="2:24" ht="162.4" customHeight="1">
      <c r="B9" s="23" t="s">
        <v>831</v>
      </c>
      <c r="C9" s="23"/>
      <c r="D9" s="23" t="s">
        <v>787</v>
      </c>
      <c r="E9" s="23" t="s">
        <v>832</v>
      </c>
      <c r="F9" s="23" t="s">
        <v>789</v>
      </c>
      <c r="G9" s="23" t="s">
        <v>823</v>
      </c>
      <c r="H9" s="23" t="s">
        <v>833</v>
      </c>
      <c r="I9" s="23" t="s">
        <v>823</v>
      </c>
      <c r="J9" s="23" t="s">
        <v>834</v>
      </c>
      <c r="K9" s="23" t="s">
        <v>534</v>
      </c>
      <c r="L9" s="23" t="s">
        <v>835</v>
      </c>
      <c r="M9" s="23" t="s">
        <v>534</v>
      </c>
      <c r="N9" s="23" t="s">
        <v>836</v>
      </c>
      <c r="O9" s="23" t="s">
        <v>534</v>
      </c>
      <c r="P9" s="23" t="s">
        <v>837</v>
      </c>
      <c r="Q9" s="23" t="s">
        <v>417</v>
      </c>
      <c r="R9" s="40" t="s">
        <v>838</v>
      </c>
      <c r="S9" s="23"/>
      <c r="T9" s="23"/>
      <c r="U9" s="23"/>
      <c r="V9" s="23">
        <v>25</v>
      </c>
      <c r="W9" s="23">
        <v>5</v>
      </c>
    </row>
    <row r="10" spans="2:24" ht="123.2" customHeight="1">
      <c r="B10" s="23" t="s">
        <v>839</v>
      </c>
      <c r="C10" s="23"/>
      <c r="D10" s="23" t="s">
        <v>787</v>
      </c>
      <c r="E10" s="23" t="s">
        <v>840</v>
      </c>
      <c r="F10" s="23" t="s">
        <v>789</v>
      </c>
      <c r="G10" s="23" t="s">
        <v>814</v>
      </c>
      <c r="H10" s="23" t="s">
        <v>841</v>
      </c>
      <c r="I10" s="23" t="s">
        <v>814</v>
      </c>
      <c r="J10" s="23" t="s">
        <v>842</v>
      </c>
      <c r="K10" s="23" t="s">
        <v>417</v>
      </c>
      <c r="L10" s="23" t="s">
        <v>843</v>
      </c>
      <c r="M10" s="23" t="s">
        <v>417</v>
      </c>
      <c r="N10" s="23" t="s">
        <v>844</v>
      </c>
      <c r="O10" s="23" t="s">
        <v>417</v>
      </c>
      <c r="P10" s="23" t="s">
        <v>845</v>
      </c>
      <c r="Q10" s="23" t="s">
        <v>417</v>
      </c>
      <c r="R10" s="23"/>
      <c r="S10" s="23"/>
      <c r="T10" s="23" t="s">
        <v>810</v>
      </c>
      <c r="U10" s="7" t="s">
        <v>811</v>
      </c>
      <c r="V10" s="23">
        <v>20</v>
      </c>
      <c r="W10" s="23">
        <v>5</v>
      </c>
    </row>
    <row r="11" spans="2:24" ht="207.2" customHeight="1">
      <c r="B11" s="23" t="s">
        <v>846</v>
      </c>
      <c r="C11" s="23"/>
      <c r="D11" s="23" t="s">
        <v>787</v>
      </c>
      <c r="E11" s="23" t="s">
        <v>847</v>
      </c>
      <c r="F11" s="23" t="s">
        <v>789</v>
      </c>
      <c r="G11" s="23" t="s">
        <v>848</v>
      </c>
      <c r="H11" s="23" t="s">
        <v>803</v>
      </c>
      <c r="I11" s="23" t="s">
        <v>848</v>
      </c>
      <c r="J11" s="23" t="s">
        <v>849</v>
      </c>
      <c r="K11" s="23" t="s">
        <v>792</v>
      </c>
      <c r="L11" s="23" t="s">
        <v>850</v>
      </c>
      <c r="M11" s="23" t="s">
        <v>792</v>
      </c>
      <c r="N11" s="23" t="s">
        <v>851</v>
      </c>
      <c r="O11" s="23" t="s">
        <v>792</v>
      </c>
      <c r="P11" s="23" t="s">
        <v>852</v>
      </c>
      <c r="Q11" s="23" t="s">
        <v>792</v>
      </c>
      <c r="R11" s="23"/>
      <c r="S11" s="23"/>
      <c r="T11" s="23" t="s">
        <v>810</v>
      </c>
      <c r="U11" s="7" t="s">
        <v>811</v>
      </c>
      <c r="V11" s="23">
        <v>30</v>
      </c>
      <c r="W11" s="23">
        <v>5</v>
      </c>
    </row>
    <row r="12" spans="2:24" ht="121.35" customHeight="1">
      <c r="B12" s="23" t="s">
        <v>853</v>
      </c>
      <c r="C12" s="23"/>
      <c r="D12" s="23" t="s">
        <v>787</v>
      </c>
      <c r="E12" s="23" t="s">
        <v>854</v>
      </c>
      <c r="F12" s="23" t="s">
        <v>855</v>
      </c>
      <c r="G12" s="23" t="s">
        <v>856</v>
      </c>
      <c r="H12" s="23" t="s">
        <v>803</v>
      </c>
      <c r="I12" s="23" t="s">
        <v>856</v>
      </c>
      <c r="J12" s="23" t="s">
        <v>857</v>
      </c>
      <c r="K12" s="23" t="s">
        <v>335</v>
      </c>
      <c r="L12" s="23" t="s">
        <v>858</v>
      </c>
      <c r="M12" s="23" t="s">
        <v>792</v>
      </c>
      <c r="N12" s="37" t="s">
        <v>859</v>
      </c>
      <c r="O12" s="23" t="s">
        <v>335</v>
      </c>
      <c r="P12" s="23" t="s">
        <v>860</v>
      </c>
      <c r="Q12" s="23" t="s">
        <v>335</v>
      </c>
      <c r="R12" s="23" t="s">
        <v>861</v>
      </c>
      <c r="S12" s="23" t="s">
        <v>792</v>
      </c>
      <c r="T12" s="23" t="s">
        <v>862</v>
      </c>
      <c r="U12" s="7" t="s">
        <v>863</v>
      </c>
      <c r="V12" s="23">
        <v>35</v>
      </c>
      <c r="W12" s="23">
        <v>5</v>
      </c>
    </row>
    <row r="13" spans="2:24" ht="235.15" customHeight="1">
      <c r="B13" s="23" t="s">
        <v>864</v>
      </c>
      <c r="C13" s="23"/>
      <c r="D13" s="23" t="s">
        <v>787</v>
      </c>
      <c r="E13" s="23" t="s">
        <v>865</v>
      </c>
      <c r="F13" s="23" t="s">
        <v>855</v>
      </c>
      <c r="G13" s="23" t="s">
        <v>856</v>
      </c>
      <c r="H13" s="23" t="s">
        <v>803</v>
      </c>
      <c r="I13" s="23" t="s">
        <v>856</v>
      </c>
      <c r="J13" s="23" t="s">
        <v>866</v>
      </c>
      <c r="K13" s="23" t="s">
        <v>335</v>
      </c>
      <c r="L13" s="23" t="s">
        <v>867</v>
      </c>
      <c r="M13" s="23" t="s">
        <v>868</v>
      </c>
      <c r="N13" s="23" t="s">
        <v>869</v>
      </c>
      <c r="O13" s="23" t="s">
        <v>870</v>
      </c>
      <c r="P13" s="23" t="s">
        <v>871</v>
      </c>
      <c r="Q13" s="23" t="s">
        <v>792</v>
      </c>
      <c r="R13" s="39" t="s">
        <v>872</v>
      </c>
      <c r="S13" s="23" t="s">
        <v>792</v>
      </c>
      <c r="T13" s="23" t="s">
        <v>862</v>
      </c>
      <c r="U13" s="7" t="s">
        <v>863</v>
      </c>
      <c r="V13" s="23">
        <v>30</v>
      </c>
      <c r="W13" s="23">
        <v>5</v>
      </c>
    </row>
    <row r="14" spans="2:24" ht="136.35" customHeight="1">
      <c r="B14" s="23" t="s">
        <v>873</v>
      </c>
      <c r="C14" s="23"/>
      <c r="D14" s="23" t="s">
        <v>787</v>
      </c>
      <c r="E14" s="23" t="s">
        <v>874</v>
      </c>
      <c r="F14" s="23" t="s">
        <v>855</v>
      </c>
      <c r="G14" s="23" t="s">
        <v>875</v>
      </c>
      <c r="H14" s="23" t="s">
        <v>876</v>
      </c>
      <c r="I14" s="23" t="s">
        <v>875</v>
      </c>
      <c r="J14" s="23" t="s">
        <v>877</v>
      </c>
      <c r="K14" s="23" t="s">
        <v>417</v>
      </c>
      <c r="L14" s="23" t="s">
        <v>878</v>
      </c>
      <c r="M14" s="23" t="s">
        <v>335</v>
      </c>
      <c r="N14" s="23" t="s">
        <v>879</v>
      </c>
      <c r="O14" s="23" t="s">
        <v>335</v>
      </c>
      <c r="P14" s="23" t="s">
        <v>880</v>
      </c>
      <c r="Q14" s="23" t="s">
        <v>335</v>
      </c>
      <c r="R14" s="23" t="s">
        <v>881</v>
      </c>
      <c r="S14" s="23"/>
      <c r="T14" s="23" t="s">
        <v>862</v>
      </c>
      <c r="U14" s="7" t="s">
        <v>863</v>
      </c>
      <c r="V14" s="23">
        <v>25</v>
      </c>
      <c r="W14" s="23">
        <v>5</v>
      </c>
    </row>
    <row r="15" spans="2:24" ht="125.1" customHeight="1">
      <c r="B15" s="23" t="s">
        <v>882</v>
      </c>
      <c r="C15" s="23"/>
      <c r="D15" s="23" t="s">
        <v>787</v>
      </c>
      <c r="E15" s="23" t="s">
        <v>874</v>
      </c>
      <c r="F15" s="23" t="s">
        <v>855</v>
      </c>
      <c r="G15" s="23" t="s">
        <v>875</v>
      </c>
      <c r="H15" s="23" t="s">
        <v>803</v>
      </c>
      <c r="I15" s="23" t="s">
        <v>875</v>
      </c>
      <c r="J15" s="23" t="s">
        <v>883</v>
      </c>
      <c r="K15" s="23" t="s">
        <v>417</v>
      </c>
      <c r="L15" s="23" t="s">
        <v>884</v>
      </c>
      <c r="M15" s="23" t="s">
        <v>335</v>
      </c>
      <c r="N15" s="23" t="s">
        <v>885</v>
      </c>
      <c r="O15" s="23" t="s">
        <v>335</v>
      </c>
      <c r="P15" s="23" t="s">
        <v>886</v>
      </c>
      <c r="Q15" s="23" t="s">
        <v>335</v>
      </c>
      <c r="R15" s="23"/>
      <c r="S15" s="23"/>
      <c r="T15" s="23" t="s">
        <v>862</v>
      </c>
      <c r="U15" s="7" t="s">
        <v>863</v>
      </c>
      <c r="V15" s="23">
        <v>30</v>
      </c>
      <c r="W15" s="23">
        <v>5</v>
      </c>
    </row>
    <row r="16" spans="2:24" ht="110.1" customHeight="1">
      <c r="B16" s="12" t="s">
        <v>887</v>
      </c>
      <c r="C16" s="12"/>
      <c r="D16" s="23" t="s">
        <v>787</v>
      </c>
      <c r="E16" s="12" t="s">
        <v>888</v>
      </c>
      <c r="F16" s="12" t="s">
        <v>855</v>
      </c>
      <c r="G16" s="12" t="s">
        <v>875</v>
      </c>
      <c r="H16" s="12" t="s">
        <v>327</v>
      </c>
      <c r="I16" s="12" t="s">
        <v>875</v>
      </c>
      <c r="J16" s="12" t="s">
        <v>889</v>
      </c>
      <c r="K16" s="23" t="s">
        <v>417</v>
      </c>
      <c r="L16" s="12" t="s">
        <v>890</v>
      </c>
      <c r="M16" s="12" t="s">
        <v>891</v>
      </c>
      <c r="N16" s="12" t="s">
        <v>892</v>
      </c>
      <c r="O16" s="12" t="s">
        <v>335</v>
      </c>
      <c r="P16" s="12" t="s">
        <v>893</v>
      </c>
      <c r="Q16" s="12" t="s">
        <v>335</v>
      </c>
      <c r="R16" s="12"/>
      <c r="S16" s="12"/>
      <c r="T16" s="23" t="s">
        <v>862</v>
      </c>
      <c r="U16" s="7" t="s">
        <v>863</v>
      </c>
      <c r="V16" s="12">
        <v>30</v>
      </c>
      <c r="W16" s="12">
        <v>5</v>
      </c>
    </row>
    <row r="17" spans="2:23" ht="153" customHeight="1">
      <c r="B17" s="13" t="s">
        <v>894</v>
      </c>
      <c r="C17" s="13"/>
      <c r="D17" s="23" t="s">
        <v>787</v>
      </c>
      <c r="E17" s="13" t="s">
        <v>895</v>
      </c>
      <c r="F17" s="13" t="s">
        <v>855</v>
      </c>
      <c r="G17" s="13" t="s">
        <v>875</v>
      </c>
      <c r="H17" s="13" t="s">
        <v>896</v>
      </c>
      <c r="I17" s="13" t="s">
        <v>875</v>
      </c>
      <c r="J17" s="13" t="s">
        <v>897</v>
      </c>
      <c r="K17" s="13" t="s">
        <v>335</v>
      </c>
      <c r="L17" s="13" t="s">
        <v>898</v>
      </c>
      <c r="M17" s="13" t="s">
        <v>335</v>
      </c>
      <c r="N17" s="13" t="s">
        <v>899</v>
      </c>
      <c r="O17" s="13" t="s">
        <v>335</v>
      </c>
      <c r="P17" s="13" t="s">
        <v>900</v>
      </c>
      <c r="Q17" s="13" t="s">
        <v>335</v>
      </c>
      <c r="R17" s="13" t="s">
        <v>901</v>
      </c>
      <c r="S17" s="13" t="s">
        <v>335</v>
      </c>
      <c r="T17" s="23" t="s">
        <v>862</v>
      </c>
      <c r="U17" s="7" t="s">
        <v>863</v>
      </c>
      <c r="V17" s="13">
        <v>30</v>
      </c>
      <c r="W17" s="13">
        <v>5</v>
      </c>
    </row>
    <row r="18" spans="2:23" ht="195">
      <c r="B18" s="13" t="s">
        <v>902</v>
      </c>
      <c r="C18" s="13"/>
      <c r="D18" s="23" t="s">
        <v>787</v>
      </c>
      <c r="E18" s="13" t="s">
        <v>903</v>
      </c>
      <c r="F18" s="13" t="s">
        <v>904</v>
      </c>
      <c r="G18" s="13" t="s">
        <v>905</v>
      </c>
      <c r="H18" s="13" t="s">
        <v>896</v>
      </c>
      <c r="I18" s="13" t="s">
        <v>905</v>
      </c>
      <c r="J18" s="13" t="s">
        <v>906</v>
      </c>
      <c r="K18" s="13" t="s">
        <v>335</v>
      </c>
      <c r="L18" s="13" t="s">
        <v>907</v>
      </c>
      <c r="M18" s="13" t="s">
        <v>335</v>
      </c>
      <c r="N18" s="13" t="s">
        <v>908</v>
      </c>
      <c r="O18" s="13" t="s">
        <v>335</v>
      </c>
      <c r="P18" s="13" t="s">
        <v>909</v>
      </c>
      <c r="Q18" s="13" t="s">
        <v>335</v>
      </c>
      <c r="R18" s="13"/>
      <c r="S18" s="13"/>
      <c r="T18" s="23" t="s">
        <v>862</v>
      </c>
      <c r="U18" s="7" t="s">
        <v>863</v>
      </c>
      <c r="V18" s="13">
        <v>20</v>
      </c>
      <c r="W18" s="13">
        <v>5</v>
      </c>
    </row>
    <row r="19" spans="2:23" ht="130.69999999999999" customHeight="1">
      <c r="B19" s="41" t="s">
        <v>910</v>
      </c>
      <c r="C19" s="41" t="s">
        <v>911</v>
      </c>
      <c r="D19" s="23" t="s">
        <v>787</v>
      </c>
      <c r="E19" s="41" t="s">
        <v>912</v>
      </c>
      <c r="F19" s="41" t="s">
        <v>913</v>
      </c>
      <c r="G19" s="41" t="s">
        <v>914</v>
      </c>
      <c r="H19" s="41" t="s">
        <v>327</v>
      </c>
      <c r="I19" s="41" t="s">
        <v>914</v>
      </c>
      <c r="J19" s="41" t="s">
        <v>915</v>
      </c>
      <c r="K19" s="41" t="s">
        <v>335</v>
      </c>
      <c r="L19" s="41" t="s">
        <v>916</v>
      </c>
      <c r="M19" s="41" t="s">
        <v>335</v>
      </c>
      <c r="N19" s="41" t="s">
        <v>917</v>
      </c>
      <c r="O19" s="41" t="s">
        <v>335</v>
      </c>
      <c r="P19" s="41" t="s">
        <v>918</v>
      </c>
      <c r="Q19" s="41" t="s">
        <v>335</v>
      </c>
      <c r="R19" s="42" t="s">
        <v>919</v>
      </c>
      <c r="S19" s="41" t="s">
        <v>911</v>
      </c>
      <c r="T19" s="41" t="s">
        <v>920</v>
      </c>
      <c r="U19" s="41" t="s">
        <v>921</v>
      </c>
      <c r="V19" s="43">
        <v>20</v>
      </c>
      <c r="W19" s="41">
        <v>5</v>
      </c>
    </row>
    <row r="20" spans="2:23" ht="119.1" customHeight="1">
      <c r="B20" s="23" t="s">
        <v>922</v>
      </c>
      <c r="C20" s="44"/>
      <c r="D20" s="23" t="s">
        <v>787</v>
      </c>
      <c r="E20" s="44" t="s">
        <v>923</v>
      </c>
      <c r="F20" s="44" t="s">
        <v>924</v>
      </c>
      <c r="G20" s="44" t="s">
        <v>925</v>
      </c>
      <c r="H20" s="44" t="s">
        <v>327</v>
      </c>
      <c r="I20" s="44" t="s">
        <v>925</v>
      </c>
      <c r="J20" s="44" t="s">
        <v>926</v>
      </c>
      <c r="K20" s="44" t="s">
        <v>792</v>
      </c>
      <c r="L20" s="44" t="s">
        <v>927</v>
      </c>
      <c r="M20" s="44" t="s">
        <v>792</v>
      </c>
      <c r="N20" s="23" t="s">
        <v>928</v>
      </c>
      <c r="O20" s="23" t="s">
        <v>792</v>
      </c>
      <c r="P20" s="23" t="s">
        <v>929</v>
      </c>
      <c r="Q20" s="23" t="s">
        <v>792</v>
      </c>
      <c r="R20" s="23"/>
      <c r="S20" s="41"/>
      <c r="T20" s="23" t="s">
        <v>862</v>
      </c>
      <c r="U20" s="7" t="s">
        <v>863</v>
      </c>
      <c r="V20" s="41">
        <v>15</v>
      </c>
      <c r="W20" s="41">
        <v>5</v>
      </c>
    </row>
    <row r="21" spans="2:23" ht="125.1" customHeight="1">
      <c r="B21" s="41" t="s">
        <v>930</v>
      </c>
      <c r="C21" s="41" t="s">
        <v>911</v>
      </c>
      <c r="D21" s="23" t="s">
        <v>787</v>
      </c>
      <c r="E21" s="41" t="s">
        <v>931</v>
      </c>
      <c r="F21" s="41" t="s">
        <v>913</v>
      </c>
      <c r="G21" s="41" t="s">
        <v>932</v>
      </c>
      <c r="H21" s="41" t="s">
        <v>933</v>
      </c>
      <c r="I21" s="41" t="s">
        <v>932</v>
      </c>
      <c r="J21" s="41" t="s">
        <v>934</v>
      </c>
      <c r="K21" s="41" t="s">
        <v>335</v>
      </c>
      <c r="L21" s="41" t="s">
        <v>935</v>
      </c>
      <c r="M21" s="41" t="s">
        <v>335</v>
      </c>
      <c r="N21" s="41" t="s">
        <v>936</v>
      </c>
      <c r="O21" s="41" t="s">
        <v>335</v>
      </c>
      <c r="P21" s="41" t="s">
        <v>937</v>
      </c>
      <c r="Q21" s="41" t="s">
        <v>335</v>
      </c>
      <c r="R21" s="42" t="s">
        <v>938</v>
      </c>
      <c r="S21" s="41" t="s">
        <v>911</v>
      </c>
      <c r="T21" s="41" t="s">
        <v>939</v>
      </c>
      <c r="U21" s="7" t="s">
        <v>940</v>
      </c>
      <c r="V21" s="43">
        <v>30</v>
      </c>
      <c r="W21" s="41">
        <v>5</v>
      </c>
    </row>
    <row r="22" spans="2:23" ht="166.15" customHeight="1">
      <c r="B22" s="45" t="s">
        <v>941</v>
      </c>
      <c r="C22" s="46"/>
      <c r="D22" s="23" t="s">
        <v>787</v>
      </c>
      <c r="E22" s="41" t="s">
        <v>942</v>
      </c>
      <c r="F22" s="41" t="s">
        <v>913</v>
      </c>
      <c r="G22" s="41" t="s">
        <v>943</v>
      </c>
      <c r="H22" s="41" t="s">
        <v>327</v>
      </c>
      <c r="I22" s="41" t="s">
        <v>943</v>
      </c>
      <c r="J22" s="41" t="s">
        <v>944</v>
      </c>
      <c r="K22" s="41" t="s">
        <v>792</v>
      </c>
      <c r="L22" s="41" t="s">
        <v>945</v>
      </c>
      <c r="M22" s="41" t="s">
        <v>792</v>
      </c>
      <c r="N22" s="41" t="s">
        <v>946</v>
      </c>
      <c r="O22" s="41" t="s">
        <v>792</v>
      </c>
      <c r="P22" s="41" t="s">
        <v>947</v>
      </c>
      <c r="Q22" s="41" t="s">
        <v>792</v>
      </c>
      <c r="R22" s="47" t="s">
        <v>948</v>
      </c>
      <c r="S22" s="41" t="s">
        <v>792</v>
      </c>
      <c r="T22" s="46"/>
      <c r="U22" s="46"/>
      <c r="V22" s="48">
        <v>30</v>
      </c>
      <c r="W22" s="46">
        <v>5</v>
      </c>
    </row>
    <row r="23" spans="2:23" ht="195">
      <c r="B23" s="41" t="s">
        <v>949</v>
      </c>
      <c r="C23" s="7" t="s">
        <v>911</v>
      </c>
      <c r="D23" s="23" t="s">
        <v>787</v>
      </c>
      <c r="E23" s="7" t="s">
        <v>950</v>
      </c>
      <c r="F23" s="7" t="s">
        <v>20</v>
      </c>
      <c r="G23" s="7" t="s">
        <v>951</v>
      </c>
      <c r="H23" s="7" t="s">
        <v>327</v>
      </c>
      <c r="I23" s="7" t="s">
        <v>951</v>
      </c>
      <c r="J23" s="7" t="s">
        <v>952</v>
      </c>
      <c r="K23" s="7" t="s">
        <v>953</v>
      </c>
      <c r="L23" s="7" t="s">
        <v>954</v>
      </c>
      <c r="M23" s="7" t="s">
        <v>953</v>
      </c>
      <c r="N23" s="7" t="s">
        <v>955</v>
      </c>
      <c r="O23" s="7" t="s">
        <v>953</v>
      </c>
      <c r="P23" s="7" t="s">
        <v>956</v>
      </c>
      <c r="Q23" s="7" t="s">
        <v>335</v>
      </c>
      <c r="R23" s="7" t="s">
        <v>957</v>
      </c>
      <c r="S23" s="7" t="s">
        <v>911</v>
      </c>
      <c r="T23" s="23" t="s">
        <v>958</v>
      </c>
      <c r="U23" s="7" t="s">
        <v>959</v>
      </c>
      <c r="V23" s="49">
        <v>30</v>
      </c>
      <c r="W23" s="7">
        <v>5</v>
      </c>
    </row>
    <row r="24" spans="2:23" ht="135">
      <c r="B24" s="23" t="s">
        <v>960</v>
      </c>
      <c r="C24" s="23"/>
      <c r="D24" s="23" t="s">
        <v>787</v>
      </c>
      <c r="E24" s="23" t="s">
        <v>961</v>
      </c>
      <c r="F24" s="23" t="s">
        <v>962</v>
      </c>
      <c r="G24" s="23" t="s">
        <v>963</v>
      </c>
      <c r="H24" s="7" t="s">
        <v>327</v>
      </c>
      <c r="I24" s="23" t="s">
        <v>963</v>
      </c>
      <c r="J24" s="23" t="s">
        <v>964</v>
      </c>
      <c r="K24" s="23" t="s">
        <v>965</v>
      </c>
      <c r="L24" s="23" t="s">
        <v>966</v>
      </c>
      <c r="M24" s="23" t="s">
        <v>967</v>
      </c>
      <c r="N24" s="23" t="s">
        <v>968</v>
      </c>
      <c r="O24" s="23" t="s">
        <v>335</v>
      </c>
      <c r="P24" s="39" t="s">
        <v>969</v>
      </c>
      <c r="Q24" s="23" t="s">
        <v>534</v>
      </c>
      <c r="R24" s="39" t="s">
        <v>970</v>
      </c>
      <c r="S24" s="23" t="s">
        <v>971</v>
      </c>
      <c r="T24" s="23"/>
      <c r="U24" s="23"/>
      <c r="V24" s="23">
        <v>20</v>
      </c>
      <c r="W24" s="23">
        <v>15</v>
      </c>
    </row>
    <row r="25" spans="2:23" ht="225">
      <c r="B25" s="23" t="s">
        <v>972</v>
      </c>
      <c r="C25" s="23"/>
      <c r="D25" s="23" t="s">
        <v>787</v>
      </c>
      <c r="E25" s="23" t="s">
        <v>973</v>
      </c>
      <c r="F25" s="23" t="s">
        <v>904</v>
      </c>
      <c r="G25" s="23" t="s">
        <v>974</v>
      </c>
      <c r="H25" s="7" t="s">
        <v>327</v>
      </c>
      <c r="I25" s="23" t="s">
        <v>974</v>
      </c>
      <c r="J25" s="23" t="s">
        <v>975</v>
      </c>
      <c r="K25" s="23" t="s">
        <v>335</v>
      </c>
      <c r="L25" s="23" t="s">
        <v>976</v>
      </c>
      <c r="M25" s="23" t="s">
        <v>335</v>
      </c>
      <c r="N25" s="23" t="s">
        <v>977</v>
      </c>
      <c r="O25" s="23" t="s">
        <v>335</v>
      </c>
      <c r="P25" s="39" t="s">
        <v>978</v>
      </c>
      <c r="Q25" s="23" t="s">
        <v>335</v>
      </c>
      <c r="R25" s="42" t="s">
        <v>979</v>
      </c>
      <c r="S25" s="23" t="s">
        <v>980</v>
      </c>
      <c r="T25" s="23"/>
      <c r="U25" s="23"/>
      <c r="V25" s="23">
        <v>25</v>
      </c>
      <c r="W25" s="23">
        <v>20</v>
      </c>
    </row>
    <row r="26" spans="2:23" ht="150">
      <c r="B26" s="23" t="s">
        <v>981</v>
      </c>
      <c r="C26" s="23"/>
      <c r="D26" s="23" t="s">
        <v>787</v>
      </c>
      <c r="E26" s="23" t="s">
        <v>982</v>
      </c>
      <c r="F26" s="23" t="s">
        <v>904</v>
      </c>
      <c r="G26" s="23" t="s">
        <v>983</v>
      </c>
      <c r="H26" s="7" t="s">
        <v>984</v>
      </c>
      <c r="I26" s="23" t="s">
        <v>983</v>
      </c>
      <c r="J26" s="23" t="s">
        <v>985</v>
      </c>
      <c r="K26" s="23" t="s">
        <v>335</v>
      </c>
      <c r="L26" s="23" t="s">
        <v>986</v>
      </c>
      <c r="M26" s="23" t="s">
        <v>335</v>
      </c>
      <c r="N26" s="23" t="s">
        <v>987</v>
      </c>
      <c r="O26" s="23" t="s">
        <v>335</v>
      </c>
      <c r="P26" s="23" t="s">
        <v>988</v>
      </c>
      <c r="Q26" s="23" t="s">
        <v>335</v>
      </c>
      <c r="R26" s="50" t="s">
        <v>989</v>
      </c>
      <c r="S26" s="23" t="s">
        <v>335</v>
      </c>
      <c r="T26" s="23" t="s">
        <v>990</v>
      </c>
      <c r="U26" s="7" t="s">
        <v>991</v>
      </c>
      <c r="V26" s="23">
        <v>30</v>
      </c>
      <c r="W26" s="23">
        <v>15</v>
      </c>
    </row>
    <row r="27" spans="2:23" ht="90">
      <c r="B27" s="23" t="s">
        <v>992</v>
      </c>
      <c r="C27" s="23"/>
      <c r="D27" s="23" t="s">
        <v>787</v>
      </c>
      <c r="E27" s="23" t="s">
        <v>993</v>
      </c>
      <c r="F27" s="23" t="s">
        <v>904</v>
      </c>
      <c r="G27" s="23" t="s">
        <v>983</v>
      </c>
      <c r="H27" s="7" t="s">
        <v>327</v>
      </c>
      <c r="I27" s="23" t="s">
        <v>983</v>
      </c>
      <c r="J27" s="23" t="s">
        <v>994</v>
      </c>
      <c r="K27" s="23" t="s">
        <v>335</v>
      </c>
      <c r="L27" s="23" t="s">
        <v>995</v>
      </c>
      <c r="M27" s="23" t="s">
        <v>335</v>
      </c>
      <c r="N27" s="39" t="s">
        <v>996</v>
      </c>
      <c r="O27" s="23" t="s">
        <v>335</v>
      </c>
      <c r="P27" s="39" t="s">
        <v>997</v>
      </c>
      <c r="Q27" s="23" t="s">
        <v>335</v>
      </c>
      <c r="R27" s="23"/>
      <c r="S27" s="23"/>
      <c r="T27" s="23" t="s">
        <v>990</v>
      </c>
      <c r="U27" s="7" t="s">
        <v>991</v>
      </c>
      <c r="V27" s="23">
        <v>20</v>
      </c>
      <c r="W27" s="23">
        <v>3</v>
      </c>
    </row>
    <row r="28" spans="2:23" ht="180">
      <c r="B28" s="23" t="s">
        <v>998</v>
      </c>
      <c r="C28" s="23"/>
      <c r="D28" s="23" t="s">
        <v>787</v>
      </c>
      <c r="E28" s="23" t="s">
        <v>982</v>
      </c>
      <c r="F28" s="23" t="s">
        <v>904</v>
      </c>
      <c r="G28" s="23" t="s">
        <v>983</v>
      </c>
      <c r="H28" s="7" t="s">
        <v>984</v>
      </c>
      <c r="I28" s="23" t="s">
        <v>983</v>
      </c>
      <c r="J28" s="23" t="s">
        <v>999</v>
      </c>
      <c r="K28" s="23" t="s">
        <v>335</v>
      </c>
      <c r="L28" s="23" t="s">
        <v>1000</v>
      </c>
      <c r="M28" s="23" t="s">
        <v>335</v>
      </c>
      <c r="N28" s="23" t="s">
        <v>1001</v>
      </c>
      <c r="O28" s="23" t="s">
        <v>335</v>
      </c>
      <c r="P28" s="23" t="s">
        <v>1002</v>
      </c>
      <c r="Q28" s="23" t="s">
        <v>335</v>
      </c>
      <c r="R28" s="23" t="s">
        <v>1003</v>
      </c>
      <c r="S28" s="23" t="s">
        <v>335</v>
      </c>
      <c r="T28" s="23" t="s">
        <v>990</v>
      </c>
      <c r="U28" s="7" t="s">
        <v>991</v>
      </c>
      <c r="V28" s="23">
        <v>15</v>
      </c>
      <c r="W28" s="23">
        <v>5</v>
      </c>
    </row>
    <row r="29" spans="2:23" ht="225">
      <c r="B29" s="23" t="s">
        <v>1004</v>
      </c>
      <c r="C29" s="23"/>
      <c r="D29" s="23" t="s">
        <v>787</v>
      </c>
      <c r="E29" s="23" t="s">
        <v>1005</v>
      </c>
      <c r="F29" s="23" t="s">
        <v>904</v>
      </c>
      <c r="G29" s="23" t="s">
        <v>983</v>
      </c>
      <c r="H29" s="7" t="s">
        <v>984</v>
      </c>
      <c r="I29" s="23" t="s">
        <v>983</v>
      </c>
      <c r="J29" s="23" t="s">
        <v>1006</v>
      </c>
      <c r="K29" s="23" t="s">
        <v>335</v>
      </c>
      <c r="L29" s="23" t="s">
        <v>1007</v>
      </c>
      <c r="M29" s="23" t="s">
        <v>335</v>
      </c>
      <c r="N29" s="23" t="s">
        <v>1008</v>
      </c>
      <c r="O29" s="23" t="s">
        <v>335</v>
      </c>
      <c r="P29" s="23" t="s">
        <v>1009</v>
      </c>
      <c r="Q29" s="23" t="s">
        <v>335</v>
      </c>
      <c r="R29" s="23" t="s">
        <v>1010</v>
      </c>
      <c r="S29" s="23" t="s">
        <v>335</v>
      </c>
      <c r="T29" s="23" t="s">
        <v>990</v>
      </c>
      <c r="U29" s="7" t="s">
        <v>991</v>
      </c>
      <c r="V29" s="23">
        <v>20</v>
      </c>
      <c r="W29" s="23">
        <v>3</v>
      </c>
    </row>
    <row r="30" spans="2:23" ht="210">
      <c r="B30" s="23" t="s">
        <v>1011</v>
      </c>
      <c r="C30" s="23"/>
      <c r="D30" s="23" t="s">
        <v>787</v>
      </c>
      <c r="E30" s="23" t="s">
        <v>1012</v>
      </c>
      <c r="F30" s="23" t="s">
        <v>904</v>
      </c>
      <c r="G30" s="23" t="s">
        <v>983</v>
      </c>
      <c r="H30" s="7" t="s">
        <v>327</v>
      </c>
      <c r="I30" s="23" t="s">
        <v>983</v>
      </c>
      <c r="J30" s="23" t="s">
        <v>1013</v>
      </c>
      <c r="K30" s="23" t="s">
        <v>335</v>
      </c>
      <c r="L30" s="23" t="s">
        <v>1014</v>
      </c>
      <c r="M30" s="23" t="s">
        <v>335</v>
      </c>
      <c r="N30" s="23" t="s">
        <v>1015</v>
      </c>
      <c r="O30" s="23" t="s">
        <v>335</v>
      </c>
      <c r="P30" s="23" t="s">
        <v>1016</v>
      </c>
      <c r="Q30" s="23" t="s">
        <v>335</v>
      </c>
      <c r="R30" s="23" t="s">
        <v>1017</v>
      </c>
      <c r="S30" s="23"/>
      <c r="T30" s="23" t="s">
        <v>990</v>
      </c>
      <c r="U30" s="7" t="s">
        <v>991</v>
      </c>
      <c r="V30" s="23">
        <v>15</v>
      </c>
      <c r="W30" s="23">
        <v>4</v>
      </c>
    </row>
    <row r="31" spans="2:23" ht="195">
      <c r="B31" s="23" t="s">
        <v>1018</v>
      </c>
      <c r="C31" s="23"/>
      <c r="D31" s="23" t="s">
        <v>787</v>
      </c>
      <c r="E31" s="23" t="s">
        <v>1019</v>
      </c>
      <c r="F31" s="23" t="s">
        <v>904</v>
      </c>
      <c r="G31" s="23" t="s">
        <v>1020</v>
      </c>
      <c r="H31" s="7" t="s">
        <v>327</v>
      </c>
      <c r="I31" s="23" t="s">
        <v>1020</v>
      </c>
      <c r="J31" s="23" t="s">
        <v>1021</v>
      </c>
      <c r="K31" s="23" t="s">
        <v>335</v>
      </c>
      <c r="L31" s="23" t="s">
        <v>1022</v>
      </c>
      <c r="M31" s="23" t="s">
        <v>335</v>
      </c>
      <c r="N31" s="23" t="s">
        <v>1023</v>
      </c>
      <c r="O31" s="23" t="s">
        <v>335</v>
      </c>
      <c r="P31" s="23" t="s">
        <v>1024</v>
      </c>
      <c r="Q31" s="23" t="s">
        <v>335</v>
      </c>
      <c r="R31" s="23" t="s">
        <v>1025</v>
      </c>
      <c r="S31" s="23"/>
      <c r="T31" s="23"/>
      <c r="U31" s="23"/>
      <c r="V31" s="23">
        <v>15</v>
      </c>
      <c r="W31" s="23"/>
    </row>
    <row r="32" spans="2:23" ht="240">
      <c r="B32" s="23" t="s">
        <v>1026</v>
      </c>
      <c r="C32" s="23"/>
      <c r="D32" s="23" t="s">
        <v>787</v>
      </c>
      <c r="E32" s="23" t="s">
        <v>1027</v>
      </c>
      <c r="F32" s="7" t="s">
        <v>1028</v>
      </c>
      <c r="G32" s="7" t="s">
        <v>1029</v>
      </c>
      <c r="H32" s="7" t="s">
        <v>1030</v>
      </c>
      <c r="I32" s="7" t="s">
        <v>1029</v>
      </c>
      <c r="J32" s="7" t="s">
        <v>1031</v>
      </c>
      <c r="K32" s="23" t="s">
        <v>335</v>
      </c>
      <c r="L32" s="23" t="s">
        <v>1032</v>
      </c>
      <c r="M32" s="23" t="s">
        <v>335</v>
      </c>
      <c r="N32" s="23" t="s">
        <v>1033</v>
      </c>
      <c r="O32" s="7" t="s">
        <v>1034</v>
      </c>
      <c r="P32" s="23" t="s">
        <v>1035</v>
      </c>
      <c r="Q32" s="23" t="s">
        <v>335</v>
      </c>
      <c r="R32" s="23" t="s">
        <v>1036</v>
      </c>
      <c r="S32" s="23" t="s">
        <v>335</v>
      </c>
      <c r="T32" s="23" t="s">
        <v>1037</v>
      </c>
      <c r="U32" s="23" t="s">
        <v>1038</v>
      </c>
      <c r="V32" s="23">
        <v>30</v>
      </c>
      <c r="W32" s="10">
        <v>5</v>
      </c>
    </row>
    <row r="33" spans="2:24" ht="195">
      <c r="B33" s="41" t="s">
        <v>1039</v>
      </c>
      <c r="C33" s="41"/>
      <c r="D33" s="23" t="s">
        <v>787</v>
      </c>
      <c r="E33" s="23" t="s">
        <v>1040</v>
      </c>
      <c r="F33" s="7" t="s">
        <v>1041</v>
      </c>
      <c r="G33" s="7" t="s">
        <v>1029</v>
      </c>
      <c r="H33" s="7" t="s">
        <v>327</v>
      </c>
      <c r="I33" s="7" t="s">
        <v>1029</v>
      </c>
      <c r="J33" s="41" t="s">
        <v>1042</v>
      </c>
      <c r="K33" s="23" t="s">
        <v>335</v>
      </c>
      <c r="L33" s="41" t="s">
        <v>1043</v>
      </c>
      <c r="M33" s="23" t="s">
        <v>335</v>
      </c>
      <c r="N33" s="41" t="s">
        <v>1044</v>
      </c>
      <c r="O33" s="23" t="s">
        <v>335</v>
      </c>
      <c r="P33" s="42" t="s">
        <v>1045</v>
      </c>
      <c r="Q33" s="23" t="s">
        <v>335</v>
      </c>
      <c r="R33" s="41" t="s">
        <v>1046</v>
      </c>
      <c r="S33" s="23" t="s">
        <v>971</v>
      </c>
      <c r="T33" s="41"/>
      <c r="U33" s="41"/>
      <c r="V33" s="41">
        <v>20</v>
      </c>
      <c r="W33" s="41">
        <v>5</v>
      </c>
      <c r="X33" s="46"/>
    </row>
    <row r="34" spans="2:24" ht="165">
      <c r="B34" s="41" t="s">
        <v>1047</v>
      </c>
      <c r="C34" s="46"/>
      <c r="D34" s="23" t="s">
        <v>787</v>
      </c>
      <c r="E34" s="23" t="s">
        <v>1048</v>
      </c>
      <c r="F34" s="7" t="s">
        <v>1041</v>
      </c>
      <c r="G34" s="7" t="s">
        <v>1029</v>
      </c>
      <c r="H34" s="7" t="s">
        <v>327</v>
      </c>
      <c r="I34" s="7" t="s">
        <v>1029</v>
      </c>
      <c r="J34" s="41" t="s">
        <v>1049</v>
      </c>
      <c r="K34" s="23" t="s">
        <v>335</v>
      </c>
      <c r="L34" s="41" t="s">
        <v>1050</v>
      </c>
      <c r="M34" s="23" t="s">
        <v>335</v>
      </c>
      <c r="N34" s="41" t="s">
        <v>1051</v>
      </c>
      <c r="O34" s="41" t="s">
        <v>1052</v>
      </c>
      <c r="P34" s="42" t="s">
        <v>1053</v>
      </c>
      <c r="Q34" s="23" t="s">
        <v>335</v>
      </c>
      <c r="R34" s="46"/>
      <c r="S34" s="46"/>
      <c r="T34" s="23" t="s">
        <v>1037</v>
      </c>
      <c r="U34" s="23" t="s">
        <v>1038</v>
      </c>
      <c r="V34" s="48">
        <v>20</v>
      </c>
      <c r="W34" s="46"/>
      <c r="X34" s="46"/>
    </row>
    <row r="35" spans="2:24" ht="180">
      <c r="B35" s="41" t="s">
        <v>1054</v>
      </c>
      <c r="C35" s="46"/>
      <c r="D35" s="23" t="s">
        <v>787</v>
      </c>
      <c r="E35" s="23" t="s">
        <v>1055</v>
      </c>
      <c r="F35" s="7" t="s">
        <v>1041</v>
      </c>
      <c r="G35" s="7" t="s">
        <v>1029</v>
      </c>
      <c r="H35" s="7" t="s">
        <v>327</v>
      </c>
      <c r="I35" s="7" t="s">
        <v>1029</v>
      </c>
      <c r="J35" s="41" t="s">
        <v>1056</v>
      </c>
      <c r="K35" s="23" t="s">
        <v>335</v>
      </c>
      <c r="L35" s="41" t="s">
        <v>1057</v>
      </c>
      <c r="M35" s="23" t="s">
        <v>335</v>
      </c>
      <c r="N35" s="42" t="s">
        <v>1058</v>
      </c>
      <c r="O35" s="23" t="s">
        <v>335</v>
      </c>
      <c r="P35" s="41" t="s">
        <v>1059</v>
      </c>
      <c r="Q35" s="23" t="s">
        <v>335</v>
      </c>
      <c r="R35" s="42" t="s">
        <v>1060</v>
      </c>
      <c r="S35" s="46" t="s">
        <v>1061</v>
      </c>
      <c r="T35" s="46"/>
      <c r="U35" s="46"/>
      <c r="V35" s="48">
        <v>25</v>
      </c>
      <c r="W35" s="48">
        <v>10</v>
      </c>
      <c r="X35" s="46"/>
    </row>
    <row r="36" spans="2:24" ht="165">
      <c r="B36" s="41" t="s">
        <v>1062</v>
      </c>
      <c r="C36" s="46"/>
      <c r="D36" s="23" t="s">
        <v>787</v>
      </c>
      <c r="E36" s="23" t="s">
        <v>1063</v>
      </c>
      <c r="F36" s="7" t="s">
        <v>1041</v>
      </c>
      <c r="G36" s="7" t="s">
        <v>1029</v>
      </c>
      <c r="H36" s="7" t="s">
        <v>327</v>
      </c>
      <c r="I36" s="7" t="s">
        <v>1029</v>
      </c>
      <c r="J36" s="41" t="s">
        <v>1064</v>
      </c>
      <c r="K36" s="23" t="s">
        <v>335</v>
      </c>
      <c r="L36" s="41" t="s">
        <v>1065</v>
      </c>
      <c r="M36" s="23" t="s">
        <v>335</v>
      </c>
      <c r="N36" s="41" t="s">
        <v>1066</v>
      </c>
      <c r="O36" s="23" t="s">
        <v>335</v>
      </c>
      <c r="P36" s="42" t="s">
        <v>1067</v>
      </c>
      <c r="Q36" s="23" t="s">
        <v>335</v>
      </c>
      <c r="R36" s="51" t="s">
        <v>1068</v>
      </c>
      <c r="S36" s="46"/>
      <c r="T36" s="46"/>
      <c r="U36" s="46"/>
      <c r="V36" s="48">
        <v>20</v>
      </c>
      <c r="W36" s="46">
        <v>5</v>
      </c>
      <c r="X36" s="46"/>
    </row>
    <row r="37" spans="2:24" ht="225">
      <c r="B37" s="41" t="s">
        <v>1069</v>
      </c>
      <c r="C37" s="46"/>
      <c r="D37" s="23" t="s">
        <v>787</v>
      </c>
      <c r="E37" s="23" t="s">
        <v>1070</v>
      </c>
      <c r="F37" s="7" t="s">
        <v>1041</v>
      </c>
      <c r="G37" s="7" t="s">
        <v>1029</v>
      </c>
      <c r="H37" s="7" t="s">
        <v>327</v>
      </c>
      <c r="I37" s="7" t="s">
        <v>1029</v>
      </c>
      <c r="J37" s="41" t="s">
        <v>1071</v>
      </c>
      <c r="K37" s="23" t="s">
        <v>335</v>
      </c>
      <c r="L37" s="41" t="s">
        <v>1072</v>
      </c>
      <c r="M37" s="23" t="s">
        <v>335</v>
      </c>
      <c r="N37" s="41" t="s">
        <v>1073</v>
      </c>
      <c r="O37" s="23" t="s">
        <v>335</v>
      </c>
      <c r="P37" s="42" t="s">
        <v>1074</v>
      </c>
      <c r="Q37" s="23" t="s">
        <v>335</v>
      </c>
      <c r="R37" s="51" t="s">
        <v>1075</v>
      </c>
      <c r="S37" s="46"/>
      <c r="T37" s="46"/>
      <c r="U37" s="46"/>
      <c r="V37" s="48">
        <v>20</v>
      </c>
      <c r="W37" s="46">
        <v>5</v>
      </c>
      <c r="X37" s="46"/>
    </row>
    <row r="38" spans="2:24" ht="165">
      <c r="B38" s="41" t="s">
        <v>1076</v>
      </c>
      <c r="C38" s="46"/>
      <c r="D38" s="23" t="s">
        <v>787</v>
      </c>
      <c r="E38" s="23" t="s">
        <v>1048</v>
      </c>
      <c r="F38" s="7" t="s">
        <v>1041</v>
      </c>
      <c r="G38" s="7" t="s">
        <v>1029</v>
      </c>
      <c r="H38" s="7" t="s">
        <v>327</v>
      </c>
      <c r="I38" s="7" t="s">
        <v>1029</v>
      </c>
      <c r="J38" s="41" t="s">
        <v>1077</v>
      </c>
      <c r="K38" s="41" t="s">
        <v>953</v>
      </c>
      <c r="L38" s="41" t="s">
        <v>1078</v>
      </c>
      <c r="M38" s="23" t="s">
        <v>335</v>
      </c>
      <c r="N38" s="41" t="s">
        <v>1079</v>
      </c>
      <c r="O38" s="41" t="s">
        <v>953</v>
      </c>
      <c r="P38" s="41" t="s">
        <v>1080</v>
      </c>
      <c r="Q38" s="23" t="s">
        <v>335</v>
      </c>
      <c r="R38" s="51" t="s">
        <v>1081</v>
      </c>
      <c r="S38" s="46"/>
      <c r="T38" s="23" t="s">
        <v>1037</v>
      </c>
      <c r="U38" s="23" t="s">
        <v>1038</v>
      </c>
      <c r="V38" s="48">
        <v>15</v>
      </c>
      <c r="W38" s="46">
        <v>5</v>
      </c>
      <c r="X38" s="46"/>
    </row>
    <row r="39" spans="2:24" ht="225">
      <c r="B39" s="41" t="s">
        <v>1082</v>
      </c>
      <c r="C39" s="46"/>
      <c r="D39" s="23" t="s">
        <v>787</v>
      </c>
      <c r="E39" s="23" t="s">
        <v>1048</v>
      </c>
      <c r="F39" s="7" t="s">
        <v>1041</v>
      </c>
      <c r="G39" s="7" t="s">
        <v>1029</v>
      </c>
      <c r="H39" s="7" t="s">
        <v>327</v>
      </c>
      <c r="I39" s="7" t="s">
        <v>1029</v>
      </c>
      <c r="J39" s="41" t="s">
        <v>1083</v>
      </c>
      <c r="K39" s="41" t="s">
        <v>1084</v>
      </c>
      <c r="L39" s="41" t="s">
        <v>1085</v>
      </c>
      <c r="M39" s="23" t="s">
        <v>335</v>
      </c>
      <c r="N39" s="41" t="s">
        <v>1086</v>
      </c>
      <c r="O39" s="41" t="s">
        <v>953</v>
      </c>
      <c r="P39"/>
      <c r="Q39" s="23" t="s">
        <v>335</v>
      </c>
      <c r="R39" s="46"/>
      <c r="S39" s="46"/>
      <c r="T39" s="23" t="s">
        <v>1037</v>
      </c>
      <c r="U39" s="23" t="s">
        <v>1038</v>
      </c>
      <c r="V39" s="48">
        <v>15</v>
      </c>
      <c r="W39" s="46">
        <v>5</v>
      </c>
      <c r="X39" s="46"/>
    </row>
    <row r="40" spans="2:24" ht="195">
      <c r="B40" s="41" t="s">
        <v>1087</v>
      </c>
      <c r="C40" s="46"/>
      <c r="D40" s="23" t="s">
        <v>787</v>
      </c>
      <c r="E40" s="41" t="s">
        <v>1088</v>
      </c>
      <c r="F40" s="41" t="s">
        <v>1089</v>
      </c>
      <c r="G40" s="41" t="s">
        <v>1090</v>
      </c>
      <c r="H40" s="7" t="s">
        <v>327</v>
      </c>
      <c r="I40" s="41" t="s">
        <v>1090</v>
      </c>
      <c r="J40" s="41" t="s">
        <v>1091</v>
      </c>
      <c r="K40" s="23" t="s">
        <v>335</v>
      </c>
      <c r="L40" s="48" t="s">
        <v>1092</v>
      </c>
      <c r="M40" s="23" t="s">
        <v>335</v>
      </c>
      <c r="N40" s="41" t="s">
        <v>1093</v>
      </c>
      <c r="O40" s="23" t="s">
        <v>335</v>
      </c>
      <c r="P40" s="42" t="s">
        <v>1094</v>
      </c>
      <c r="Q40" s="41" t="s">
        <v>1034</v>
      </c>
      <c r="R40" s="41" t="s">
        <v>1095</v>
      </c>
      <c r="S40" s="46" t="s">
        <v>335</v>
      </c>
      <c r="T40" s="23" t="s">
        <v>1096</v>
      </c>
      <c r="U40" s="7" t="s">
        <v>1097</v>
      </c>
      <c r="V40" s="41">
        <v>25</v>
      </c>
      <c r="W40" s="46">
        <v>5</v>
      </c>
      <c r="X40" s="46"/>
    </row>
    <row r="41" spans="2:24" ht="195">
      <c r="B41" s="41" t="s">
        <v>1098</v>
      </c>
      <c r="C41" s="46"/>
      <c r="D41" s="23" t="s">
        <v>787</v>
      </c>
      <c r="E41" s="41" t="s">
        <v>1099</v>
      </c>
      <c r="F41" s="41" t="s">
        <v>1089</v>
      </c>
      <c r="G41" s="41" t="s">
        <v>1090</v>
      </c>
      <c r="H41" s="7" t="s">
        <v>327</v>
      </c>
      <c r="I41" s="41" t="s">
        <v>1090</v>
      </c>
      <c r="J41" s="41" t="s">
        <v>1100</v>
      </c>
      <c r="K41" s="23" t="s">
        <v>335</v>
      </c>
      <c r="L41" s="48" t="s">
        <v>1092</v>
      </c>
      <c r="M41" s="23" t="s">
        <v>335</v>
      </c>
      <c r="N41" s="41" t="s">
        <v>1101</v>
      </c>
      <c r="O41" s="41" t="s">
        <v>417</v>
      </c>
      <c r="P41" s="41" t="s">
        <v>1102</v>
      </c>
      <c r="Q41" s="41" t="s">
        <v>417</v>
      </c>
      <c r="R41" s="46"/>
      <c r="S41" s="46"/>
      <c r="T41" s="23" t="s">
        <v>1096</v>
      </c>
      <c r="U41" s="7" t="s">
        <v>1097</v>
      </c>
      <c r="V41" s="41">
        <v>25</v>
      </c>
      <c r="W41" s="46">
        <v>5</v>
      </c>
      <c r="X41" s="46"/>
    </row>
    <row r="42" spans="2:24" ht="195">
      <c r="B42" s="41" t="s">
        <v>1103</v>
      </c>
      <c r="C42" s="46"/>
      <c r="D42" s="23" t="s">
        <v>787</v>
      </c>
      <c r="E42" s="41" t="s">
        <v>1104</v>
      </c>
      <c r="F42" s="41" t="s">
        <v>1089</v>
      </c>
      <c r="G42" s="41" t="s">
        <v>1105</v>
      </c>
      <c r="H42" s="7" t="s">
        <v>327</v>
      </c>
      <c r="I42" s="48" t="s">
        <v>1106</v>
      </c>
      <c r="J42" s="41" t="s">
        <v>1107</v>
      </c>
      <c r="K42" s="23" t="s">
        <v>335</v>
      </c>
      <c r="L42" s="41" t="s">
        <v>1108</v>
      </c>
      <c r="M42" s="23" t="s">
        <v>335</v>
      </c>
      <c r="N42" s="41" t="s">
        <v>1109</v>
      </c>
      <c r="O42" s="41" t="s">
        <v>953</v>
      </c>
      <c r="P42" s="41" t="s">
        <v>1110</v>
      </c>
      <c r="Q42" s="23" t="s">
        <v>335</v>
      </c>
      <c r="R42" s="46"/>
      <c r="S42" s="46"/>
      <c r="T42" s="23" t="s">
        <v>1096</v>
      </c>
      <c r="U42" s="7" t="s">
        <v>1097</v>
      </c>
      <c r="V42" s="48">
        <v>25</v>
      </c>
      <c r="W42" s="46">
        <v>5</v>
      </c>
      <c r="X42" s="46"/>
    </row>
    <row r="43" spans="2:24" ht="195">
      <c r="B43" s="41" t="s">
        <v>1111</v>
      </c>
      <c r="C43" s="46"/>
      <c r="D43" s="23" t="s">
        <v>787</v>
      </c>
      <c r="E43" s="41" t="s">
        <v>1104</v>
      </c>
      <c r="F43" s="41" t="s">
        <v>1089</v>
      </c>
      <c r="G43" s="41" t="s">
        <v>1105</v>
      </c>
      <c r="H43" s="7" t="s">
        <v>327</v>
      </c>
      <c r="I43" s="48" t="s">
        <v>1106</v>
      </c>
      <c r="J43" s="41" t="s">
        <v>1112</v>
      </c>
      <c r="K43" s="23" t="s">
        <v>335</v>
      </c>
      <c r="L43" s="41" t="s">
        <v>1113</v>
      </c>
      <c r="M43" s="23" t="s">
        <v>335</v>
      </c>
      <c r="N43" s="41" t="s">
        <v>1114</v>
      </c>
      <c r="O43" s="23" t="s">
        <v>335</v>
      </c>
      <c r="P43" s="41" t="s">
        <v>1115</v>
      </c>
      <c r="Q43" s="23" t="s">
        <v>335</v>
      </c>
      <c r="R43" s="46"/>
      <c r="S43" s="46"/>
      <c r="T43" s="23" t="s">
        <v>1096</v>
      </c>
      <c r="U43" s="7" t="s">
        <v>1097</v>
      </c>
      <c r="V43" s="48">
        <v>20</v>
      </c>
      <c r="W43" s="46">
        <v>5</v>
      </c>
      <c r="X43" s="46"/>
    </row>
    <row r="44" spans="2:24" ht="195">
      <c r="B44" s="41" t="s">
        <v>1116</v>
      </c>
      <c r="C44" s="46"/>
      <c r="D44" s="23" t="s">
        <v>787</v>
      </c>
      <c r="E44" s="41" t="s">
        <v>1117</v>
      </c>
      <c r="F44" s="7" t="s">
        <v>1089</v>
      </c>
      <c r="G44" s="41" t="s">
        <v>1118</v>
      </c>
      <c r="H44" s="41" t="s">
        <v>1119</v>
      </c>
      <c r="I44" s="41" t="s">
        <v>1118</v>
      </c>
      <c r="J44" s="41" t="s">
        <v>1120</v>
      </c>
      <c r="K44" s="41" t="s">
        <v>953</v>
      </c>
      <c r="L44" s="41" t="s">
        <v>1121</v>
      </c>
      <c r="M44" s="45" t="s">
        <v>335</v>
      </c>
      <c r="N44" s="41" t="s">
        <v>1122</v>
      </c>
      <c r="O44" s="41" t="s">
        <v>953</v>
      </c>
      <c r="P44" s="41" t="s">
        <v>1123</v>
      </c>
      <c r="Q44" s="45" t="s">
        <v>335</v>
      </c>
      <c r="R44" s="41" t="s">
        <v>1124</v>
      </c>
      <c r="S44" s="41" t="s">
        <v>953</v>
      </c>
      <c r="T44" s="23" t="s">
        <v>1096</v>
      </c>
      <c r="U44" s="7" t="s">
        <v>1097</v>
      </c>
      <c r="V44" s="46">
        <v>15</v>
      </c>
      <c r="W44" s="46">
        <v>5</v>
      </c>
      <c r="X44" s="46"/>
    </row>
    <row r="45" spans="2:24" ht="195">
      <c r="B45" s="41" t="s">
        <v>1125</v>
      </c>
      <c r="C45" s="46"/>
      <c r="D45" s="23" t="s">
        <v>787</v>
      </c>
      <c r="E45" s="41" t="s">
        <v>1126</v>
      </c>
      <c r="F45" s="41" t="s">
        <v>1127</v>
      </c>
      <c r="G45" s="41" t="s">
        <v>1127</v>
      </c>
      <c r="H45" s="41" t="s">
        <v>1119</v>
      </c>
      <c r="I45" s="41" t="s">
        <v>1127</v>
      </c>
      <c r="J45" s="41" t="s">
        <v>1128</v>
      </c>
      <c r="K45" s="41" t="s">
        <v>953</v>
      </c>
      <c r="L45" s="41" t="s">
        <v>1129</v>
      </c>
      <c r="M45" s="41" t="s">
        <v>953</v>
      </c>
      <c r="N45" s="41" t="s">
        <v>1130</v>
      </c>
      <c r="O45" s="41" t="s">
        <v>953</v>
      </c>
      <c r="P45" s="41" t="s">
        <v>1131</v>
      </c>
      <c r="Q45" s="45" t="s">
        <v>335</v>
      </c>
      <c r="R45" s="41" t="s">
        <v>1132</v>
      </c>
      <c r="S45" s="52" t="s">
        <v>1034</v>
      </c>
      <c r="T45" s="23" t="s">
        <v>1096</v>
      </c>
      <c r="U45" s="7" t="s">
        <v>1097</v>
      </c>
      <c r="V45" s="46">
        <v>10</v>
      </c>
      <c r="W45" s="46">
        <v>3</v>
      </c>
      <c r="X45" s="46"/>
    </row>
    <row r="46" spans="2:24" ht="195">
      <c r="B46" s="41" t="s">
        <v>1133</v>
      </c>
      <c r="C46" s="41" t="s">
        <v>911</v>
      </c>
      <c r="D46" s="23" t="s">
        <v>787</v>
      </c>
      <c r="E46" s="41" t="s">
        <v>1134</v>
      </c>
      <c r="F46" s="41" t="s">
        <v>1127</v>
      </c>
      <c r="G46" s="41" t="s">
        <v>1127</v>
      </c>
      <c r="H46" s="41" t="s">
        <v>1119</v>
      </c>
      <c r="I46" s="41" t="s">
        <v>1127</v>
      </c>
      <c r="J46" s="41" t="s">
        <v>1128</v>
      </c>
      <c r="K46" s="41" t="s">
        <v>953</v>
      </c>
      <c r="L46" s="41" t="s">
        <v>1135</v>
      </c>
      <c r="M46" s="41" t="s">
        <v>335</v>
      </c>
      <c r="N46" s="41" t="s">
        <v>1130</v>
      </c>
      <c r="O46" s="41" t="s">
        <v>953</v>
      </c>
      <c r="P46" s="41" t="s">
        <v>1136</v>
      </c>
      <c r="Q46" s="41" t="s">
        <v>335</v>
      </c>
      <c r="R46" s="41" t="s">
        <v>1132</v>
      </c>
      <c r="S46" s="41" t="s">
        <v>1034</v>
      </c>
      <c r="T46" s="23" t="s">
        <v>1096</v>
      </c>
      <c r="U46" s="7" t="s">
        <v>1097</v>
      </c>
      <c r="V46" s="41">
        <v>20</v>
      </c>
      <c r="W46" s="53">
        <v>3</v>
      </c>
      <c r="X46" s="46"/>
    </row>
    <row r="47" spans="2:24" ht="285">
      <c r="B47" s="52" t="s">
        <v>1137</v>
      </c>
      <c r="C47" s="52" t="s">
        <v>911</v>
      </c>
      <c r="D47" s="23" t="s">
        <v>787</v>
      </c>
      <c r="E47" s="52" t="s">
        <v>1138</v>
      </c>
      <c r="F47" s="52" t="s">
        <v>132</v>
      </c>
      <c r="G47" s="52" t="s">
        <v>1139</v>
      </c>
      <c r="H47" s="52" t="s">
        <v>1140</v>
      </c>
      <c r="I47" s="52" t="s">
        <v>1139</v>
      </c>
      <c r="J47" s="52" t="s">
        <v>1141</v>
      </c>
      <c r="K47" s="52" t="s">
        <v>953</v>
      </c>
      <c r="L47" s="52" t="s">
        <v>1142</v>
      </c>
      <c r="M47" s="52" t="s">
        <v>953</v>
      </c>
      <c r="N47" s="52" t="s">
        <v>1143</v>
      </c>
      <c r="O47" s="52" t="s">
        <v>953</v>
      </c>
      <c r="P47" s="52" t="s">
        <v>1144</v>
      </c>
      <c r="Q47" s="52" t="s">
        <v>335</v>
      </c>
      <c r="R47" s="52" t="s">
        <v>1145</v>
      </c>
      <c r="S47" s="52" t="s">
        <v>953</v>
      </c>
      <c r="T47" s="23" t="s">
        <v>1146</v>
      </c>
      <c r="U47" s="7" t="s">
        <v>1147</v>
      </c>
      <c r="V47" s="54">
        <v>30</v>
      </c>
      <c r="W47" s="55">
        <v>5</v>
      </c>
      <c r="X47" s="56"/>
    </row>
  </sheetData>
  <mergeCells count="9">
    <mergeCell ref="W2:W3"/>
    <mergeCell ref="B3:B4"/>
    <mergeCell ref="C3:C4"/>
    <mergeCell ref="D3:D4"/>
    <mergeCell ref="E3:E4"/>
    <mergeCell ref="F3:F4"/>
    <mergeCell ref="G3:G4"/>
    <mergeCell ref="H3:H4"/>
    <mergeCell ref="I3:U3"/>
  </mergeCells>
  <hyperlinks>
    <hyperlink ref="K8" r:id="rId1" xr:uid="{00000000-0004-0000-0300-000000000000}"/>
  </hyperlinks>
  <pageMargins left="0.75" right="0.75" top="1" bottom="1" header="0.51180555555555496" footer="0.51180555555555496"/>
  <pageSetup paperSize="9" firstPageNumber="0" orientation="portrait" horizontalDpi="300" verticalDpi="30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Y20"/>
  <sheetViews>
    <sheetView tabSelected="1" topLeftCell="N1" zoomScaleNormal="100" workbookViewId="0">
      <selection activeCell="Y6" sqref="Y6"/>
    </sheetView>
  </sheetViews>
  <sheetFormatPr defaultColWidth="7.42578125" defaultRowHeight="12.75"/>
  <cols>
    <col min="2" max="3" width="13.7109375" style="10" customWidth="1"/>
    <col min="4" max="4" width="18.140625" style="10" customWidth="1"/>
    <col min="5" max="5" width="19.28515625" style="10" customWidth="1"/>
    <col min="6" max="6" width="13.7109375" style="10" customWidth="1"/>
    <col min="7" max="7" width="21.28515625" style="10" customWidth="1"/>
    <col min="8" max="8" width="18.5703125" style="10" customWidth="1"/>
    <col min="9" max="9" width="19.7109375" style="10" customWidth="1"/>
    <col min="10" max="10" width="25.85546875" style="10" customWidth="1"/>
    <col min="11" max="11" width="20.85546875" style="10" customWidth="1"/>
    <col min="12" max="12" width="26.85546875" style="10" customWidth="1"/>
    <col min="13" max="13" width="18.28515625" style="10" customWidth="1"/>
    <col min="14" max="14" width="24.28515625" style="10" customWidth="1"/>
    <col min="15" max="15" width="21.5703125" style="10" customWidth="1"/>
    <col min="16" max="16" width="25.5703125" style="10" customWidth="1"/>
    <col min="17" max="17" width="18.85546875" style="10" customWidth="1"/>
    <col min="18" max="18" width="31.28515625" style="10" customWidth="1"/>
    <col min="19" max="19" width="20.140625" style="10" customWidth="1"/>
    <col min="22" max="22" width="9.85546875" style="10" customWidth="1"/>
    <col min="23" max="23" width="10.140625" style="10" customWidth="1"/>
  </cols>
  <sheetData>
    <row r="3" spans="1:25">
      <c r="W3" s="3"/>
    </row>
    <row r="4" spans="1:25" ht="14.1" customHeight="1">
      <c r="B4" s="3" t="s">
        <v>321</v>
      </c>
      <c r="C4" s="3" t="s">
        <v>0</v>
      </c>
      <c r="D4" s="3" t="s">
        <v>1</v>
      </c>
      <c r="E4" s="3" t="s">
        <v>2</v>
      </c>
      <c r="F4" s="3" t="s">
        <v>3</v>
      </c>
      <c r="G4" s="3" t="s">
        <v>4</v>
      </c>
      <c r="H4" s="3" t="s">
        <v>5</v>
      </c>
      <c r="I4" s="3" t="s">
        <v>6</v>
      </c>
      <c r="J4" s="3"/>
      <c r="K4" s="3"/>
      <c r="L4" s="3"/>
      <c r="M4" s="3"/>
      <c r="N4" s="3"/>
      <c r="O4" s="3"/>
      <c r="P4" s="3"/>
      <c r="Q4" s="3"/>
      <c r="R4" s="3"/>
      <c r="S4" s="3"/>
      <c r="T4" s="3"/>
      <c r="U4" s="3"/>
      <c r="W4" s="3"/>
    </row>
    <row r="5" spans="1:25" ht="120">
      <c r="B5" s="3"/>
      <c r="C5" s="3"/>
      <c r="D5" s="3"/>
      <c r="E5" s="3"/>
      <c r="F5" s="3"/>
      <c r="G5" s="3"/>
      <c r="H5" s="3"/>
      <c r="I5" s="7" t="s">
        <v>7</v>
      </c>
      <c r="J5" s="7" t="s">
        <v>8</v>
      </c>
      <c r="K5" s="7" t="s">
        <v>9</v>
      </c>
      <c r="L5" s="7" t="s">
        <v>10</v>
      </c>
      <c r="M5" s="7" t="s">
        <v>9</v>
      </c>
      <c r="N5" s="7" t="s">
        <v>11</v>
      </c>
      <c r="O5" s="7" t="s">
        <v>9</v>
      </c>
      <c r="P5" s="7" t="s">
        <v>12</v>
      </c>
      <c r="Q5" s="7" t="s">
        <v>9</v>
      </c>
      <c r="R5" s="7" t="s">
        <v>13</v>
      </c>
      <c r="S5" s="7" t="s">
        <v>9</v>
      </c>
      <c r="T5" s="7" t="s">
        <v>14</v>
      </c>
      <c r="U5" s="7" t="s">
        <v>9</v>
      </c>
      <c r="V5" s="6" t="s">
        <v>15</v>
      </c>
      <c r="W5" s="6" t="s">
        <v>16</v>
      </c>
      <c r="X5" s="79" t="s">
        <v>2042</v>
      </c>
      <c r="Y5" s="79" t="s">
        <v>2043</v>
      </c>
    </row>
    <row r="6" spans="1:25" ht="345">
      <c r="B6" s="13" t="s">
        <v>1148</v>
      </c>
      <c r="C6" s="13" t="s">
        <v>911</v>
      </c>
      <c r="D6" s="13" t="s">
        <v>1149</v>
      </c>
      <c r="E6" s="13" t="s">
        <v>1150</v>
      </c>
      <c r="F6" s="13" t="s">
        <v>1151</v>
      </c>
      <c r="G6" s="13" t="s">
        <v>1152</v>
      </c>
      <c r="H6" s="13" t="s">
        <v>327</v>
      </c>
      <c r="I6" s="13" t="s">
        <v>1152</v>
      </c>
      <c r="J6" s="13" t="s">
        <v>1153</v>
      </c>
      <c r="K6" s="13" t="s">
        <v>1154</v>
      </c>
      <c r="L6" s="13" t="s">
        <v>1155</v>
      </c>
      <c r="M6" s="13" t="s">
        <v>1156</v>
      </c>
      <c r="N6" s="13" t="s">
        <v>1157</v>
      </c>
      <c r="O6" s="13" t="s">
        <v>1156</v>
      </c>
      <c r="P6" s="13" t="s">
        <v>1158</v>
      </c>
      <c r="Q6" s="13" t="s">
        <v>1159</v>
      </c>
      <c r="R6" s="13" t="s">
        <v>1160</v>
      </c>
      <c r="S6" s="13" t="s">
        <v>1161</v>
      </c>
      <c r="T6" s="13" t="s">
        <v>911</v>
      </c>
      <c r="U6" s="13" t="s">
        <v>911</v>
      </c>
      <c r="V6" s="57">
        <v>20</v>
      </c>
      <c r="W6" s="13">
        <v>25</v>
      </c>
      <c r="X6">
        <f>SUM(V:V,V1,V2,V3:V5)</f>
        <v>175</v>
      </c>
      <c r="Y6">
        <f>SUM(W:W,W1:W5)</f>
        <v>155</v>
      </c>
    </row>
    <row r="7" spans="1:25" ht="409.5">
      <c r="B7" s="13" t="s">
        <v>1162</v>
      </c>
      <c r="C7" s="13" t="s">
        <v>911</v>
      </c>
      <c r="D7" s="13" t="s">
        <v>1149</v>
      </c>
      <c r="E7" s="13" t="s">
        <v>1163</v>
      </c>
      <c r="F7" s="13" t="s">
        <v>1151</v>
      </c>
      <c r="G7" s="13" t="s">
        <v>1164</v>
      </c>
      <c r="H7" s="13" t="s">
        <v>1165</v>
      </c>
      <c r="I7" s="13" t="s">
        <v>1164</v>
      </c>
      <c r="J7" s="13" t="s">
        <v>1166</v>
      </c>
      <c r="K7" s="13" t="s">
        <v>1167</v>
      </c>
      <c r="L7" s="13" t="s">
        <v>1168</v>
      </c>
      <c r="M7" s="13" t="s">
        <v>953</v>
      </c>
      <c r="N7" s="13" t="s">
        <v>1169</v>
      </c>
      <c r="O7" s="13" t="s">
        <v>953</v>
      </c>
      <c r="P7" s="13" t="s">
        <v>1170</v>
      </c>
      <c r="Q7" s="13" t="s">
        <v>953</v>
      </c>
      <c r="R7" s="13" t="s">
        <v>1171</v>
      </c>
      <c r="S7" s="13" t="s">
        <v>1172</v>
      </c>
      <c r="T7" s="13" t="s">
        <v>1173</v>
      </c>
      <c r="U7" s="13" t="s">
        <v>1174</v>
      </c>
      <c r="V7" s="57">
        <v>25</v>
      </c>
      <c r="W7" s="13">
        <v>30</v>
      </c>
    </row>
    <row r="8" spans="1:25" ht="240">
      <c r="A8" s="10"/>
      <c r="B8" s="23" t="s">
        <v>1175</v>
      </c>
      <c r="C8" s="23"/>
      <c r="D8" s="13" t="s">
        <v>1149</v>
      </c>
      <c r="E8" s="23" t="s">
        <v>1176</v>
      </c>
      <c r="F8" s="23" t="s">
        <v>1177</v>
      </c>
      <c r="G8" s="23" t="s">
        <v>1178</v>
      </c>
      <c r="H8" s="58" t="s">
        <v>327</v>
      </c>
      <c r="I8" s="23" t="s">
        <v>1178</v>
      </c>
      <c r="J8" s="23" t="s">
        <v>1179</v>
      </c>
      <c r="K8" s="23" t="s">
        <v>1180</v>
      </c>
      <c r="L8" s="23" t="s">
        <v>1181</v>
      </c>
      <c r="M8" s="23" t="s">
        <v>335</v>
      </c>
      <c r="N8" s="39" t="s">
        <v>1182</v>
      </c>
      <c r="O8" s="23" t="s">
        <v>335</v>
      </c>
      <c r="P8" s="23" t="s">
        <v>1183</v>
      </c>
      <c r="Q8" s="23" t="s">
        <v>335</v>
      </c>
      <c r="R8" s="23"/>
      <c r="S8" s="23"/>
      <c r="T8" s="23"/>
      <c r="U8" s="23"/>
      <c r="V8" s="23">
        <v>30</v>
      </c>
      <c r="W8" s="38">
        <v>5</v>
      </c>
    </row>
    <row r="9" spans="1:25" ht="409.5">
      <c r="B9" s="23" t="s">
        <v>1184</v>
      </c>
      <c r="C9" s="23"/>
      <c r="D9" s="13" t="s">
        <v>1149</v>
      </c>
      <c r="E9" s="23" t="s">
        <v>1185</v>
      </c>
      <c r="F9" s="23" t="s">
        <v>1177</v>
      </c>
      <c r="G9" s="23" t="s">
        <v>1186</v>
      </c>
      <c r="H9" s="58" t="s">
        <v>327</v>
      </c>
      <c r="I9" s="23" t="s">
        <v>1186</v>
      </c>
      <c r="J9" s="23" t="s">
        <v>1187</v>
      </c>
      <c r="K9" s="23" t="s">
        <v>1188</v>
      </c>
      <c r="L9" s="23" t="s">
        <v>1189</v>
      </c>
      <c r="M9" s="23" t="s">
        <v>335</v>
      </c>
      <c r="N9" s="23" t="s">
        <v>1190</v>
      </c>
      <c r="O9" s="23" t="s">
        <v>335</v>
      </c>
      <c r="P9" s="23" t="s">
        <v>1191</v>
      </c>
      <c r="Q9" s="23" t="s">
        <v>335</v>
      </c>
      <c r="R9" s="23" t="s">
        <v>1192</v>
      </c>
      <c r="S9" s="23" t="s">
        <v>1172</v>
      </c>
      <c r="T9" s="23"/>
      <c r="U9" s="23"/>
      <c r="V9" s="23">
        <v>25</v>
      </c>
      <c r="W9" s="23">
        <v>30</v>
      </c>
    </row>
    <row r="10" spans="1:25" ht="345">
      <c r="B10" s="23" t="s">
        <v>1193</v>
      </c>
      <c r="C10" s="23"/>
      <c r="D10" s="13" t="s">
        <v>1149</v>
      </c>
      <c r="E10" s="23" t="s">
        <v>1194</v>
      </c>
      <c r="F10" s="23" t="s">
        <v>1177</v>
      </c>
      <c r="G10" s="23" t="s">
        <v>1195</v>
      </c>
      <c r="H10" s="58" t="s">
        <v>327</v>
      </c>
      <c r="I10" s="23" t="s">
        <v>1195</v>
      </c>
      <c r="J10" s="23" t="s">
        <v>1196</v>
      </c>
      <c r="K10" s="23" t="s">
        <v>953</v>
      </c>
      <c r="L10" s="23" t="s">
        <v>1197</v>
      </c>
      <c r="M10" s="23" t="s">
        <v>1198</v>
      </c>
      <c r="N10" s="23" t="s">
        <v>1199</v>
      </c>
      <c r="O10" s="23" t="s">
        <v>1200</v>
      </c>
      <c r="P10" s="23" t="s">
        <v>1201</v>
      </c>
      <c r="Q10" s="23" t="s">
        <v>335</v>
      </c>
      <c r="R10" s="23" t="s">
        <v>1202</v>
      </c>
      <c r="S10" s="23"/>
      <c r="T10" s="23" t="s">
        <v>1203</v>
      </c>
      <c r="U10" s="7" t="s">
        <v>1204</v>
      </c>
      <c r="V10" s="23">
        <v>25</v>
      </c>
      <c r="W10" s="23">
        <v>30</v>
      </c>
    </row>
    <row r="11" spans="1:25" ht="180">
      <c r="B11" s="23" t="s">
        <v>1205</v>
      </c>
      <c r="C11" s="23"/>
      <c r="D11" s="13" t="s">
        <v>1149</v>
      </c>
      <c r="E11" s="23" t="s">
        <v>1206</v>
      </c>
      <c r="F11" s="23" t="s">
        <v>283</v>
      </c>
      <c r="G11" s="23" t="s">
        <v>1207</v>
      </c>
      <c r="H11" s="58" t="s">
        <v>327</v>
      </c>
      <c r="I11" s="23" t="s">
        <v>1207</v>
      </c>
      <c r="J11" s="23" t="s">
        <v>1208</v>
      </c>
      <c r="K11" s="23" t="s">
        <v>335</v>
      </c>
      <c r="L11" s="23" t="s">
        <v>1209</v>
      </c>
      <c r="M11" s="23" t="s">
        <v>953</v>
      </c>
      <c r="N11" s="23" t="s">
        <v>1210</v>
      </c>
      <c r="O11" s="23" t="s">
        <v>953</v>
      </c>
      <c r="P11" s="23" t="s">
        <v>1211</v>
      </c>
      <c r="Q11" s="23" t="s">
        <v>335</v>
      </c>
      <c r="R11" s="23" t="s">
        <v>1212</v>
      </c>
      <c r="S11" s="23" t="s">
        <v>953</v>
      </c>
      <c r="T11" s="23"/>
      <c r="U11" s="23"/>
      <c r="V11" s="23">
        <v>20</v>
      </c>
      <c r="W11" s="23">
        <v>25</v>
      </c>
    </row>
    <row r="12" spans="1:25" ht="180">
      <c r="B12" s="23" t="s">
        <v>1213</v>
      </c>
      <c r="C12" s="23"/>
      <c r="D12" s="13" t="s">
        <v>1149</v>
      </c>
      <c r="E12" s="23" t="s">
        <v>1214</v>
      </c>
      <c r="F12" s="23" t="s">
        <v>769</v>
      </c>
      <c r="G12" s="23" t="s">
        <v>1215</v>
      </c>
      <c r="H12" s="58" t="s">
        <v>327</v>
      </c>
      <c r="I12" s="23" t="s">
        <v>1215</v>
      </c>
      <c r="J12" s="23" t="s">
        <v>1216</v>
      </c>
      <c r="K12" s="23" t="s">
        <v>971</v>
      </c>
      <c r="L12" s="23" t="s">
        <v>1217</v>
      </c>
      <c r="M12" s="23" t="s">
        <v>1218</v>
      </c>
      <c r="N12" s="23" t="s">
        <v>1219</v>
      </c>
      <c r="O12" s="23" t="s">
        <v>1218</v>
      </c>
      <c r="P12" s="23" t="s">
        <v>1220</v>
      </c>
      <c r="Q12" s="23" t="s">
        <v>1218</v>
      </c>
      <c r="R12" s="23"/>
      <c r="S12" s="23"/>
      <c r="T12" s="23"/>
      <c r="U12" s="23"/>
      <c r="V12" s="23">
        <v>30</v>
      </c>
      <c r="W12" s="23">
        <v>10</v>
      </c>
    </row>
    <row r="13" spans="1:25" ht="331.5">
      <c r="B13" s="5" t="s">
        <v>1221</v>
      </c>
      <c r="C13" s="5"/>
      <c r="D13" s="5"/>
      <c r="E13" s="5" t="s">
        <v>1222</v>
      </c>
      <c r="F13" s="5" t="s">
        <v>1223</v>
      </c>
      <c r="G13" s="5" t="s">
        <v>1224</v>
      </c>
      <c r="H13" s="7" t="s">
        <v>22</v>
      </c>
      <c r="I13" s="5" t="s">
        <v>1224</v>
      </c>
      <c r="J13" s="5" t="s">
        <v>1225</v>
      </c>
      <c r="K13" s="5" t="s">
        <v>1226</v>
      </c>
      <c r="L13" s="5" t="s">
        <v>1227</v>
      </c>
      <c r="M13" s="5" t="s">
        <v>1226</v>
      </c>
      <c r="N13" s="5" t="s">
        <v>1228</v>
      </c>
      <c r="O13" s="5" t="s">
        <v>1226</v>
      </c>
      <c r="P13" s="5" t="s">
        <v>1229</v>
      </c>
      <c r="Q13" s="5" t="s">
        <v>1226</v>
      </c>
      <c r="R13" s="59" t="s">
        <v>1230</v>
      </c>
      <c r="S13" s="5" t="s">
        <v>1226</v>
      </c>
      <c r="T13" s="23"/>
      <c r="U13" s="23"/>
      <c r="V13" s="23"/>
      <c r="W13" s="23"/>
    </row>
    <row r="14" spans="1:25" ht="15">
      <c r="B14" s="23"/>
      <c r="C14" s="23"/>
      <c r="D14" s="23"/>
      <c r="E14" s="23"/>
      <c r="F14" s="23"/>
      <c r="G14" s="23"/>
      <c r="H14" s="23"/>
      <c r="I14" s="23"/>
      <c r="J14" s="23"/>
      <c r="K14" s="23"/>
      <c r="L14" s="23"/>
      <c r="M14" s="23"/>
      <c r="N14" s="23"/>
      <c r="O14" s="23"/>
      <c r="P14" s="23"/>
      <c r="Q14" s="23"/>
      <c r="R14" s="23"/>
      <c r="S14" s="23"/>
      <c r="T14" s="23"/>
      <c r="U14" s="23"/>
      <c r="V14" s="23"/>
      <c r="W14" s="23"/>
    </row>
    <row r="15" spans="1:25" ht="15">
      <c r="B15" s="23"/>
      <c r="C15" s="23"/>
      <c r="D15" s="23"/>
      <c r="E15" s="23"/>
      <c r="F15" s="23"/>
      <c r="G15" s="23"/>
      <c r="H15" s="23"/>
      <c r="I15" s="23"/>
      <c r="J15" s="23"/>
      <c r="K15" s="23"/>
      <c r="L15" s="23"/>
      <c r="M15" s="23"/>
      <c r="N15" s="23"/>
      <c r="O15" s="23"/>
      <c r="P15" s="23"/>
      <c r="Q15" s="23"/>
      <c r="R15" s="23"/>
      <c r="S15" s="23"/>
      <c r="T15" s="23"/>
      <c r="U15" s="23"/>
      <c r="V15" s="23"/>
      <c r="W15" s="23"/>
    </row>
    <row r="16" spans="1:25" ht="15">
      <c r="B16" s="23"/>
      <c r="C16" s="23"/>
      <c r="D16" s="23"/>
      <c r="E16" s="23"/>
      <c r="F16" s="23"/>
      <c r="G16" s="23"/>
      <c r="H16" s="23"/>
      <c r="I16" s="23"/>
      <c r="J16" s="23"/>
      <c r="K16" s="23"/>
      <c r="L16" s="23"/>
      <c r="M16" s="23"/>
      <c r="N16" s="23"/>
      <c r="O16" s="23"/>
      <c r="P16" s="23"/>
      <c r="Q16" s="23"/>
      <c r="R16" s="23"/>
      <c r="S16" s="23"/>
      <c r="T16" s="23"/>
      <c r="U16" s="23"/>
      <c r="V16" s="23"/>
      <c r="W16" s="23"/>
    </row>
    <row r="17" spans="2:23" ht="15">
      <c r="B17" s="23"/>
      <c r="C17" s="23"/>
      <c r="D17" s="23"/>
      <c r="E17" s="23"/>
      <c r="F17" s="23"/>
      <c r="G17" s="23"/>
      <c r="H17" s="23"/>
      <c r="I17" s="23"/>
      <c r="J17" s="23"/>
      <c r="K17" s="23"/>
      <c r="L17" s="23"/>
      <c r="M17" s="23"/>
      <c r="N17" s="23"/>
      <c r="O17" s="23"/>
      <c r="P17" s="23"/>
      <c r="Q17" s="23"/>
      <c r="R17" s="23"/>
      <c r="S17" s="23"/>
      <c r="T17" s="23"/>
      <c r="U17" s="23"/>
      <c r="V17" s="23"/>
      <c r="W17" s="23"/>
    </row>
    <row r="18" spans="2:23" ht="15">
      <c r="B18" s="23"/>
      <c r="C18" s="23"/>
      <c r="D18" s="23"/>
      <c r="E18" s="23"/>
      <c r="F18" s="23"/>
      <c r="G18" s="23"/>
      <c r="H18" s="23"/>
      <c r="I18" s="23"/>
      <c r="J18" s="23"/>
      <c r="K18" s="23"/>
      <c r="L18" s="23"/>
      <c r="M18" s="23"/>
      <c r="N18" s="23"/>
      <c r="O18" s="23"/>
      <c r="P18" s="23"/>
      <c r="Q18" s="23"/>
      <c r="R18" s="23"/>
      <c r="S18" s="23"/>
      <c r="T18" s="23"/>
      <c r="U18" s="23"/>
      <c r="V18" s="23"/>
      <c r="W18" s="23"/>
    </row>
    <row r="19" spans="2:23" ht="15">
      <c r="B19" s="23"/>
      <c r="C19" s="23"/>
      <c r="D19" s="23"/>
      <c r="E19" s="23"/>
      <c r="F19" s="23"/>
      <c r="G19" s="23"/>
      <c r="H19" s="23"/>
      <c r="I19" s="23"/>
      <c r="J19" s="23"/>
      <c r="K19" s="23"/>
      <c r="L19" s="23"/>
      <c r="M19" s="23"/>
      <c r="N19" s="23"/>
      <c r="O19" s="23"/>
      <c r="P19" s="23"/>
      <c r="Q19" s="23"/>
      <c r="R19" s="23"/>
      <c r="S19" s="23"/>
      <c r="T19" s="23"/>
      <c r="U19" s="23"/>
      <c r="V19" s="23"/>
      <c r="W19" s="23"/>
    </row>
    <row r="20" spans="2:23" ht="15">
      <c r="B20" s="44"/>
      <c r="C20" s="44"/>
      <c r="D20" s="44"/>
      <c r="E20" s="44"/>
      <c r="F20" s="44"/>
      <c r="G20" s="44"/>
      <c r="H20" s="44"/>
      <c r="I20" s="44"/>
      <c r="J20" s="44"/>
      <c r="K20" s="44"/>
      <c r="L20" s="44"/>
      <c r="M20" s="44"/>
      <c r="N20" s="23"/>
      <c r="O20" s="23"/>
      <c r="P20" s="23"/>
      <c r="Q20" s="23"/>
      <c r="R20" s="23"/>
      <c r="S20" s="23"/>
      <c r="T20" s="23"/>
      <c r="U20" s="23"/>
      <c r="V20" s="23"/>
      <c r="W20" s="23"/>
    </row>
  </sheetData>
  <mergeCells count="9">
    <mergeCell ref="W3:W4"/>
    <mergeCell ref="B4:B5"/>
    <mergeCell ref="C4:C5"/>
    <mergeCell ref="D4:D5"/>
    <mergeCell ref="E4:E5"/>
    <mergeCell ref="F4:F5"/>
    <mergeCell ref="G4:G5"/>
    <mergeCell ref="H4:H5"/>
    <mergeCell ref="I4:U4"/>
  </mergeCells>
  <hyperlinks>
    <hyperlink ref="K6" r:id="rId1" xr:uid="{00000000-0004-0000-0400-000000000000}"/>
    <hyperlink ref="K7" r:id="rId2" location="Wirkmechanismus" xr:uid="{00000000-0004-0000-0400-000001000000}"/>
    <hyperlink ref="K8" r:id="rId3" xr:uid="{00000000-0004-0000-0400-000002000000}"/>
    <hyperlink ref="K9" r:id="rId4" xr:uid="{00000000-0004-0000-0400-000003000000}"/>
  </hyperlinks>
  <pageMargins left="0.75" right="0.75" top="1" bottom="1" header="0.51180555555555496" footer="0.51180555555555496"/>
  <pageSetup paperSize="9" firstPageNumber="0"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W25"/>
  <sheetViews>
    <sheetView topLeftCell="A6" zoomScale="57" zoomScaleNormal="57" workbookViewId="0">
      <selection activeCell="A6" sqref="A6"/>
    </sheetView>
  </sheetViews>
  <sheetFormatPr defaultColWidth="7.42578125" defaultRowHeight="12.75"/>
  <cols>
    <col min="2" max="2" width="15.28515625" style="10" customWidth="1"/>
    <col min="3" max="4" width="13.85546875" style="10" customWidth="1"/>
    <col min="5" max="5" width="24" style="10" customWidth="1"/>
    <col min="6" max="6" width="17.28515625" style="10" customWidth="1"/>
    <col min="7" max="7" width="20.85546875" style="10" customWidth="1"/>
    <col min="8" max="8" width="21.42578125" style="10" customWidth="1"/>
    <col min="9" max="9" width="21.85546875" style="10" customWidth="1"/>
    <col min="10" max="10" width="41.5703125" style="10" customWidth="1"/>
    <col min="11" max="11" width="13.85546875" style="10" customWidth="1"/>
    <col min="12" max="12" width="27.7109375" style="10" customWidth="1"/>
    <col min="13" max="13" width="13.85546875" style="10" customWidth="1"/>
    <col min="14" max="14" width="36.7109375" style="10" customWidth="1"/>
    <col min="15" max="15" width="13.85546875" style="10" customWidth="1"/>
    <col min="16" max="16" width="29.28515625" style="10" customWidth="1"/>
    <col min="17" max="17" width="13.85546875" style="10" customWidth="1"/>
    <col min="18" max="18" width="36.140625" style="10" customWidth="1"/>
    <col min="19" max="21" width="13.85546875" style="10" customWidth="1"/>
    <col min="22" max="22" width="12.5703125" style="10" customWidth="1"/>
    <col min="23" max="23" width="15.140625" style="10" customWidth="1"/>
  </cols>
  <sheetData>
    <row r="3" spans="2:23">
      <c r="W3" s="3"/>
    </row>
    <row r="4" spans="2:23" ht="14.1" customHeight="1">
      <c r="B4" s="3" t="s">
        <v>321</v>
      </c>
      <c r="C4" s="3" t="s">
        <v>0</v>
      </c>
      <c r="D4" s="3" t="s">
        <v>1</v>
      </c>
      <c r="E4" s="3" t="s">
        <v>2</v>
      </c>
      <c r="F4" s="3" t="s">
        <v>3</v>
      </c>
      <c r="G4" s="3" t="s">
        <v>4</v>
      </c>
      <c r="H4" s="3" t="s">
        <v>5</v>
      </c>
      <c r="I4" s="3" t="s">
        <v>6</v>
      </c>
      <c r="J4" s="3"/>
      <c r="K4" s="3"/>
      <c r="L4" s="3"/>
      <c r="M4" s="3"/>
      <c r="N4" s="3"/>
      <c r="O4" s="3"/>
      <c r="P4" s="3"/>
      <c r="Q4" s="3"/>
      <c r="R4" s="3"/>
      <c r="S4" s="3"/>
      <c r="T4" s="3"/>
      <c r="U4" s="3"/>
      <c r="W4" s="3"/>
    </row>
    <row r="5" spans="2:23" ht="75">
      <c r="B5" s="3"/>
      <c r="C5" s="3"/>
      <c r="D5" s="3"/>
      <c r="E5" s="3"/>
      <c r="F5" s="3"/>
      <c r="G5" s="3"/>
      <c r="H5" s="3"/>
      <c r="I5" s="7" t="s">
        <v>7</v>
      </c>
      <c r="J5" s="7" t="s">
        <v>8</v>
      </c>
      <c r="K5" s="7" t="s">
        <v>9</v>
      </c>
      <c r="L5" s="7" t="s">
        <v>10</v>
      </c>
      <c r="M5" s="7" t="s">
        <v>9</v>
      </c>
      <c r="N5" s="7" t="s">
        <v>11</v>
      </c>
      <c r="O5" s="7" t="s">
        <v>9</v>
      </c>
      <c r="P5" s="7" t="s">
        <v>12</v>
      </c>
      <c r="Q5" s="7" t="s">
        <v>9</v>
      </c>
      <c r="R5" s="7" t="s">
        <v>13</v>
      </c>
      <c r="S5" s="7" t="s">
        <v>9</v>
      </c>
      <c r="T5" s="7" t="s">
        <v>14</v>
      </c>
      <c r="U5" s="7" t="s">
        <v>9</v>
      </c>
      <c r="V5" s="6" t="s">
        <v>15</v>
      </c>
      <c r="W5" s="6" t="s">
        <v>16</v>
      </c>
    </row>
    <row r="6" spans="2:23" ht="135">
      <c r="B6" s="23" t="s">
        <v>1231</v>
      </c>
      <c r="C6" s="23"/>
      <c r="D6" s="23" t="s">
        <v>1232</v>
      </c>
      <c r="E6" s="23" t="s">
        <v>1233</v>
      </c>
      <c r="F6" s="23" t="s">
        <v>1234</v>
      </c>
      <c r="G6" s="23" t="s">
        <v>1235</v>
      </c>
      <c r="H6" s="58" t="s">
        <v>327</v>
      </c>
      <c r="I6" s="23" t="s">
        <v>1235</v>
      </c>
      <c r="J6" s="23" t="s">
        <v>1236</v>
      </c>
      <c r="K6" s="23" t="s">
        <v>1237</v>
      </c>
      <c r="L6" s="23" t="s">
        <v>1238</v>
      </c>
      <c r="M6" s="23" t="s">
        <v>335</v>
      </c>
      <c r="N6" s="23" t="s">
        <v>1239</v>
      </c>
      <c r="O6" s="23" t="s">
        <v>335</v>
      </c>
      <c r="P6" s="23" t="s">
        <v>1240</v>
      </c>
      <c r="Q6" s="23" t="s">
        <v>335</v>
      </c>
      <c r="R6" s="23" t="s">
        <v>1241</v>
      </c>
      <c r="S6" s="23"/>
      <c r="T6" s="23"/>
      <c r="U6" s="23"/>
      <c r="V6" s="23">
        <v>20</v>
      </c>
      <c r="W6" s="23">
        <v>5</v>
      </c>
    </row>
    <row r="7" spans="2:23" ht="150">
      <c r="B7" s="23" t="s">
        <v>1242</v>
      </c>
      <c r="C7" s="23"/>
      <c r="D7" s="23" t="s">
        <v>1232</v>
      </c>
      <c r="E7" s="23" t="s">
        <v>1243</v>
      </c>
      <c r="F7" s="23" t="s">
        <v>1234</v>
      </c>
      <c r="G7" s="23" t="s">
        <v>1244</v>
      </c>
      <c r="H7" s="58" t="s">
        <v>327</v>
      </c>
      <c r="I7" s="23" t="s">
        <v>1244</v>
      </c>
      <c r="J7" s="23" t="s">
        <v>1245</v>
      </c>
      <c r="K7" s="23" t="s">
        <v>1246</v>
      </c>
      <c r="L7" s="23" t="s">
        <v>1247</v>
      </c>
      <c r="M7" s="23" t="s">
        <v>534</v>
      </c>
      <c r="N7" s="23" t="s">
        <v>1248</v>
      </c>
      <c r="O7" s="23" t="s">
        <v>534</v>
      </c>
      <c r="P7" s="60" t="s">
        <v>1249</v>
      </c>
      <c r="Q7" s="23" t="s">
        <v>534</v>
      </c>
      <c r="R7" s="61" t="s">
        <v>1250</v>
      </c>
      <c r="S7" s="23"/>
      <c r="T7" s="23" t="s">
        <v>1251</v>
      </c>
      <c r="U7" s="5" t="s">
        <v>1252</v>
      </c>
      <c r="V7" s="23">
        <v>20</v>
      </c>
      <c r="W7" s="23">
        <v>25</v>
      </c>
    </row>
    <row r="8" spans="2:23" ht="180">
      <c r="B8" s="23" t="s">
        <v>1253</v>
      </c>
      <c r="C8" s="23"/>
      <c r="D8" s="23" t="s">
        <v>1232</v>
      </c>
      <c r="E8" s="23" t="s">
        <v>1254</v>
      </c>
      <c r="F8" s="23" t="s">
        <v>1234</v>
      </c>
      <c r="G8" s="23" t="s">
        <v>1244</v>
      </c>
      <c r="H8" s="58" t="s">
        <v>327</v>
      </c>
      <c r="I8" s="23" t="s">
        <v>1244</v>
      </c>
      <c r="J8" s="23" t="s">
        <v>1255</v>
      </c>
      <c r="K8" s="23" t="s">
        <v>1256</v>
      </c>
      <c r="L8" s="23" t="s">
        <v>1257</v>
      </c>
      <c r="M8" s="23" t="s">
        <v>335</v>
      </c>
      <c r="N8" s="23" t="s">
        <v>1258</v>
      </c>
      <c r="O8" s="23" t="s">
        <v>335</v>
      </c>
      <c r="P8" s="39" t="s">
        <v>1259</v>
      </c>
      <c r="Q8" s="23" t="s">
        <v>335</v>
      </c>
      <c r="R8" s="61" t="s">
        <v>1250</v>
      </c>
      <c r="S8" s="23"/>
      <c r="T8" s="23" t="s">
        <v>1251</v>
      </c>
      <c r="U8" s="5" t="s">
        <v>1252</v>
      </c>
      <c r="V8" s="23">
        <v>25</v>
      </c>
      <c r="W8" s="23">
        <v>10</v>
      </c>
    </row>
    <row r="9" spans="2:23" ht="150">
      <c r="B9" s="23" t="s">
        <v>1260</v>
      </c>
      <c r="C9" s="23"/>
      <c r="D9" s="23" t="s">
        <v>1232</v>
      </c>
      <c r="E9" s="23" t="s">
        <v>1261</v>
      </c>
      <c r="F9" s="23" t="s">
        <v>1234</v>
      </c>
      <c r="G9" s="23" t="s">
        <v>1262</v>
      </c>
      <c r="H9" s="58" t="s">
        <v>327</v>
      </c>
      <c r="I9" s="23" t="s">
        <v>1262</v>
      </c>
      <c r="J9" s="39" t="s">
        <v>1263</v>
      </c>
      <c r="K9" s="23" t="s">
        <v>1264</v>
      </c>
      <c r="L9" s="23" t="s">
        <v>1265</v>
      </c>
      <c r="M9" s="23" t="s">
        <v>335</v>
      </c>
      <c r="N9" s="23" t="s">
        <v>1266</v>
      </c>
      <c r="O9" s="23" t="s">
        <v>335</v>
      </c>
      <c r="P9" s="23" t="s">
        <v>1267</v>
      </c>
      <c r="Q9" s="23" t="s">
        <v>335</v>
      </c>
      <c r="R9" s="62" t="s">
        <v>1268</v>
      </c>
      <c r="S9" s="23"/>
      <c r="T9" s="23"/>
      <c r="U9" s="23"/>
      <c r="V9" s="23">
        <v>35</v>
      </c>
      <c r="W9" s="23">
        <v>20</v>
      </c>
    </row>
    <row r="10" spans="2:23" ht="135">
      <c r="B10" s="23" t="s">
        <v>1269</v>
      </c>
      <c r="C10" s="23"/>
      <c r="D10" s="23" t="s">
        <v>1232</v>
      </c>
      <c r="E10" s="23" t="s">
        <v>1270</v>
      </c>
      <c r="F10" s="23" t="s">
        <v>1234</v>
      </c>
      <c r="G10" s="23" t="s">
        <v>1271</v>
      </c>
      <c r="H10" s="58" t="s">
        <v>327</v>
      </c>
      <c r="I10" s="23" t="s">
        <v>1272</v>
      </c>
      <c r="J10" s="39" t="s">
        <v>1273</v>
      </c>
      <c r="K10" s="23" t="s">
        <v>1274</v>
      </c>
      <c r="L10" s="23" t="s">
        <v>1275</v>
      </c>
      <c r="M10" s="23" t="s">
        <v>335</v>
      </c>
      <c r="N10" s="23" t="s">
        <v>1276</v>
      </c>
      <c r="O10" s="23" t="s">
        <v>335</v>
      </c>
      <c r="P10" s="23" t="s">
        <v>1277</v>
      </c>
      <c r="Q10" s="23" t="s">
        <v>335</v>
      </c>
      <c r="R10" s="39" t="s">
        <v>1278</v>
      </c>
      <c r="S10" s="23"/>
      <c r="T10" s="23" t="s">
        <v>1279</v>
      </c>
      <c r="U10" s="23" t="s">
        <v>1280</v>
      </c>
      <c r="V10" s="23">
        <v>30</v>
      </c>
      <c r="W10" s="23">
        <v>10</v>
      </c>
    </row>
    <row r="11" spans="2:23" ht="105">
      <c r="B11" s="23" t="s">
        <v>1281</v>
      </c>
      <c r="C11" s="23"/>
      <c r="D11" s="23" t="s">
        <v>1232</v>
      </c>
      <c r="E11" s="23" t="s">
        <v>1282</v>
      </c>
      <c r="F11" s="23" t="s">
        <v>1234</v>
      </c>
      <c r="G11" s="23" t="s">
        <v>1283</v>
      </c>
      <c r="H11" s="58" t="s">
        <v>327</v>
      </c>
      <c r="I11" s="23" t="s">
        <v>1283</v>
      </c>
      <c r="J11" s="23" t="s">
        <v>1284</v>
      </c>
      <c r="K11" s="23" t="s">
        <v>1285</v>
      </c>
      <c r="L11" s="23" t="s">
        <v>1286</v>
      </c>
      <c r="M11" s="23" t="s">
        <v>335</v>
      </c>
      <c r="N11" s="23" t="s">
        <v>1287</v>
      </c>
      <c r="O11" s="23" t="s">
        <v>335</v>
      </c>
      <c r="P11" s="39" t="s">
        <v>1288</v>
      </c>
      <c r="Q11" s="23" t="s">
        <v>335</v>
      </c>
      <c r="R11" s="23" t="s">
        <v>1289</v>
      </c>
      <c r="S11" s="23"/>
      <c r="T11" s="23"/>
      <c r="U11" s="23"/>
      <c r="V11" s="23">
        <v>25</v>
      </c>
      <c r="W11" s="23">
        <v>15</v>
      </c>
    </row>
    <row r="12" spans="2:23" ht="225">
      <c r="B12" s="63" t="s">
        <v>1290</v>
      </c>
      <c r="D12" s="58" t="s">
        <v>1232</v>
      </c>
      <c r="E12" s="7" t="s">
        <v>1291</v>
      </c>
      <c r="F12" s="7" t="s">
        <v>1292</v>
      </c>
      <c r="G12" s="7" t="s">
        <v>1293</v>
      </c>
      <c r="H12" s="58" t="s">
        <v>327</v>
      </c>
      <c r="I12" s="7" t="s">
        <v>1293</v>
      </c>
      <c r="J12" s="7" t="s">
        <v>1294</v>
      </c>
      <c r="K12" s="23" t="s">
        <v>1295</v>
      </c>
      <c r="L12" s="7" t="s">
        <v>1296</v>
      </c>
      <c r="M12" s="23" t="s">
        <v>335</v>
      </c>
      <c r="N12" s="7" t="s">
        <v>1297</v>
      </c>
      <c r="O12" s="23" t="s">
        <v>335</v>
      </c>
      <c r="P12" s="64" t="s">
        <v>1298</v>
      </c>
      <c r="Q12" s="23" t="s">
        <v>335</v>
      </c>
      <c r="R12" s="65" t="s">
        <v>1299</v>
      </c>
      <c r="V12" s="66">
        <v>25</v>
      </c>
      <c r="W12" s="10">
        <v>15</v>
      </c>
    </row>
    <row r="13" spans="2:23" ht="180">
      <c r="B13" s="63" t="s">
        <v>1300</v>
      </c>
      <c r="D13" s="58" t="s">
        <v>1232</v>
      </c>
      <c r="E13" s="7" t="s">
        <v>1301</v>
      </c>
      <c r="F13" s="7" t="s">
        <v>1302</v>
      </c>
      <c r="G13" s="7" t="s">
        <v>1303</v>
      </c>
      <c r="H13" s="58" t="s">
        <v>327</v>
      </c>
      <c r="I13" s="7" t="s">
        <v>1303</v>
      </c>
      <c r="J13" s="7" t="s">
        <v>1304</v>
      </c>
      <c r="K13" s="23" t="s">
        <v>1305</v>
      </c>
      <c r="L13" s="7" t="s">
        <v>1306</v>
      </c>
      <c r="M13" s="23" t="s">
        <v>335</v>
      </c>
      <c r="N13" s="7" t="s">
        <v>1307</v>
      </c>
      <c r="O13" s="23" t="s">
        <v>335</v>
      </c>
      <c r="P13" s="7" t="s">
        <v>1308</v>
      </c>
      <c r="Q13" s="23" t="s">
        <v>335</v>
      </c>
      <c r="R13" s="7" t="s">
        <v>1309</v>
      </c>
      <c r="V13" s="66">
        <v>20</v>
      </c>
      <c r="W13" s="10">
        <v>10</v>
      </c>
    </row>
    <row r="14" spans="2:23" ht="105">
      <c r="B14" s="63" t="s">
        <v>1310</v>
      </c>
      <c r="D14" s="58" t="s">
        <v>1232</v>
      </c>
      <c r="E14" s="7" t="s">
        <v>1311</v>
      </c>
      <c r="F14" s="7" t="s">
        <v>1302</v>
      </c>
      <c r="G14" s="7" t="s">
        <v>1312</v>
      </c>
      <c r="H14" s="58" t="s">
        <v>327</v>
      </c>
      <c r="I14" s="7" t="s">
        <v>1312</v>
      </c>
      <c r="J14" s="7" t="s">
        <v>1313</v>
      </c>
      <c r="K14" s="23" t="s">
        <v>335</v>
      </c>
      <c r="L14" s="7" t="s">
        <v>1314</v>
      </c>
      <c r="M14" s="23" t="s">
        <v>335</v>
      </c>
      <c r="N14" s="7" t="s">
        <v>1315</v>
      </c>
      <c r="O14" s="23" t="s">
        <v>335</v>
      </c>
      <c r="P14" s="64" t="s">
        <v>1316</v>
      </c>
      <c r="Q14" s="23" t="s">
        <v>335</v>
      </c>
      <c r="V14" s="66">
        <v>25</v>
      </c>
      <c r="W14" s="10">
        <v>5</v>
      </c>
    </row>
    <row r="15" spans="2:23" ht="90">
      <c r="B15" s="63" t="s">
        <v>1317</v>
      </c>
      <c r="D15" s="58" t="s">
        <v>1232</v>
      </c>
      <c r="E15" s="58" t="s">
        <v>1318</v>
      </c>
      <c r="F15" s="7" t="s">
        <v>1302</v>
      </c>
      <c r="G15" s="7" t="s">
        <v>1319</v>
      </c>
      <c r="H15" s="58" t="s">
        <v>327</v>
      </c>
      <c r="I15" s="7" t="s">
        <v>1319</v>
      </c>
      <c r="J15" s="7" t="s">
        <v>1320</v>
      </c>
      <c r="K15" s="23" t="s">
        <v>335</v>
      </c>
      <c r="L15" s="7" t="s">
        <v>1321</v>
      </c>
      <c r="M15" s="23" t="s">
        <v>335</v>
      </c>
      <c r="N15" s="7" t="s">
        <v>1322</v>
      </c>
      <c r="O15" s="23" t="s">
        <v>335</v>
      </c>
      <c r="P15"/>
      <c r="Q15" s="23" t="s">
        <v>335</v>
      </c>
      <c r="R15" s="7" t="s">
        <v>1323</v>
      </c>
      <c r="V15" s="66">
        <v>25</v>
      </c>
      <c r="W15" s="10">
        <v>15</v>
      </c>
    </row>
    <row r="16" spans="2:23" ht="150">
      <c r="B16" s="63" t="s">
        <v>1324</v>
      </c>
      <c r="D16" s="58" t="s">
        <v>1232</v>
      </c>
      <c r="E16" s="7" t="s">
        <v>1325</v>
      </c>
      <c r="F16" s="7" t="s">
        <v>1326</v>
      </c>
      <c r="G16" s="7" t="s">
        <v>1327</v>
      </c>
      <c r="H16" s="58" t="s">
        <v>327</v>
      </c>
      <c r="I16" s="7" t="s">
        <v>1327</v>
      </c>
      <c r="J16" s="7" t="s">
        <v>1328</v>
      </c>
      <c r="K16" s="23" t="s">
        <v>1329</v>
      </c>
      <c r="L16" s="7" t="s">
        <v>1330</v>
      </c>
      <c r="M16" s="23" t="s">
        <v>335</v>
      </c>
      <c r="N16" s="7" t="s">
        <v>1331</v>
      </c>
      <c r="O16" s="23" t="s">
        <v>335</v>
      </c>
      <c r="P16" s="7" t="s">
        <v>1332</v>
      </c>
      <c r="Q16" s="23" t="s">
        <v>335</v>
      </c>
      <c r="V16" s="66">
        <v>25</v>
      </c>
      <c r="W16" s="10">
        <v>10</v>
      </c>
    </row>
    <row r="17" spans="2:23" ht="105">
      <c r="B17" s="63" t="s">
        <v>1333</v>
      </c>
      <c r="D17" s="58" t="s">
        <v>1232</v>
      </c>
      <c r="E17" s="7" t="s">
        <v>1334</v>
      </c>
      <c r="F17" s="7" t="s">
        <v>1326</v>
      </c>
      <c r="G17" s="7" t="s">
        <v>1335</v>
      </c>
      <c r="H17" s="58" t="s">
        <v>327</v>
      </c>
      <c r="I17" s="7" t="s">
        <v>1335</v>
      </c>
      <c r="J17" s="7" t="s">
        <v>1336</v>
      </c>
      <c r="K17" s="23" t="s">
        <v>1337</v>
      </c>
      <c r="L17" s="7" t="s">
        <v>1338</v>
      </c>
      <c r="M17" s="23" t="s">
        <v>335</v>
      </c>
      <c r="N17" s="7" t="s">
        <v>1339</v>
      </c>
      <c r="O17" s="23" t="s">
        <v>335</v>
      </c>
      <c r="P17" s="64" t="s">
        <v>1340</v>
      </c>
      <c r="Q17" s="23" t="s">
        <v>335</v>
      </c>
      <c r="R17" s="67" t="s">
        <v>1341</v>
      </c>
      <c r="T17" s="10" t="s">
        <v>1342</v>
      </c>
      <c r="U17" s="10" t="s">
        <v>1343</v>
      </c>
      <c r="V17" s="5">
        <v>40</v>
      </c>
      <c r="W17" s="10">
        <v>15</v>
      </c>
    </row>
    <row r="18" spans="2:23" ht="105">
      <c r="B18" s="63" t="s">
        <v>1344</v>
      </c>
      <c r="D18" s="58" t="s">
        <v>1232</v>
      </c>
      <c r="E18" s="7" t="s">
        <v>1345</v>
      </c>
      <c r="F18" s="7" t="s">
        <v>1326</v>
      </c>
      <c r="G18" s="7" t="s">
        <v>1346</v>
      </c>
      <c r="H18" s="58" t="s">
        <v>327</v>
      </c>
      <c r="I18" s="7" t="s">
        <v>1346</v>
      </c>
      <c r="J18" s="7" t="s">
        <v>1347</v>
      </c>
      <c r="K18" s="23" t="s">
        <v>1348</v>
      </c>
      <c r="L18" s="7" t="s">
        <v>1349</v>
      </c>
      <c r="M18" s="23" t="s">
        <v>335</v>
      </c>
      <c r="N18" s="7" t="s">
        <v>1350</v>
      </c>
      <c r="O18" s="23" t="s">
        <v>335</v>
      </c>
      <c r="P18" s="64" t="s">
        <v>1351</v>
      </c>
      <c r="Q18" s="23" t="s">
        <v>335</v>
      </c>
      <c r="V18" s="66">
        <v>25</v>
      </c>
      <c r="W18" s="10">
        <v>5</v>
      </c>
    </row>
    <row r="19" spans="2:23" ht="180">
      <c r="B19" s="63" t="s">
        <v>1352</v>
      </c>
      <c r="D19" s="58" t="s">
        <v>1232</v>
      </c>
      <c r="E19" s="7" t="s">
        <v>1353</v>
      </c>
      <c r="F19" s="7" t="s">
        <v>1326</v>
      </c>
      <c r="G19" s="7" t="s">
        <v>1354</v>
      </c>
      <c r="H19" s="58" t="s">
        <v>327</v>
      </c>
      <c r="I19" s="7" t="s">
        <v>1354</v>
      </c>
      <c r="J19" s="7" t="s">
        <v>1355</v>
      </c>
      <c r="K19" s="23" t="s">
        <v>1356</v>
      </c>
      <c r="L19" s="7" t="s">
        <v>1357</v>
      </c>
      <c r="M19" s="23" t="s">
        <v>335</v>
      </c>
      <c r="N19" s="7" t="s">
        <v>1358</v>
      </c>
      <c r="O19" s="23" t="s">
        <v>335</v>
      </c>
      <c r="P19" s="64" t="s">
        <v>1359</v>
      </c>
      <c r="Q19" s="23" t="s">
        <v>335</v>
      </c>
      <c r="V19" s="66">
        <v>30</v>
      </c>
      <c r="W19" s="10">
        <v>5</v>
      </c>
    </row>
    <row r="20" spans="2:23" ht="210">
      <c r="B20" s="63" t="s">
        <v>1360</v>
      </c>
      <c r="D20" s="58" t="s">
        <v>1232</v>
      </c>
      <c r="E20" s="7" t="s">
        <v>1361</v>
      </c>
      <c r="F20" s="7" t="s">
        <v>1326</v>
      </c>
      <c r="G20" s="68" t="s">
        <v>1362</v>
      </c>
      <c r="H20" s="58" t="s">
        <v>327</v>
      </c>
      <c r="I20" s="7" t="s">
        <v>1362</v>
      </c>
      <c r="J20" s="7" t="s">
        <v>1363</v>
      </c>
      <c r="K20" s="23" t="s">
        <v>1364</v>
      </c>
      <c r="L20" s="7" t="s">
        <v>1365</v>
      </c>
      <c r="M20" s="23" t="s">
        <v>335</v>
      </c>
      <c r="N20" s="7" t="s">
        <v>1366</v>
      </c>
      <c r="O20" s="23" t="s">
        <v>335</v>
      </c>
      <c r="P20" s="7" t="s">
        <v>1367</v>
      </c>
      <c r="Q20" s="23" t="s">
        <v>335</v>
      </c>
      <c r="R20" s="67" t="s">
        <v>1368</v>
      </c>
      <c r="T20" s="10" t="s">
        <v>1369</v>
      </c>
      <c r="U20" s="10" t="s">
        <v>1370</v>
      </c>
      <c r="V20" s="66">
        <v>35</v>
      </c>
      <c r="W20" s="10">
        <v>10</v>
      </c>
    </row>
    <row r="21" spans="2:23" ht="120">
      <c r="B21" s="63" t="s">
        <v>1371</v>
      </c>
      <c r="D21" s="58" t="s">
        <v>1232</v>
      </c>
      <c r="E21" s="7" t="s">
        <v>1372</v>
      </c>
      <c r="F21" s="7" t="s">
        <v>1326</v>
      </c>
      <c r="G21" s="7" t="s">
        <v>1373</v>
      </c>
      <c r="H21" s="58" t="s">
        <v>327</v>
      </c>
      <c r="I21" s="7" t="s">
        <v>1373</v>
      </c>
      <c r="J21" s="7" t="s">
        <v>1374</v>
      </c>
      <c r="K21" s="23" t="s">
        <v>335</v>
      </c>
      <c r="L21" s="7" t="s">
        <v>1375</v>
      </c>
      <c r="M21" s="23" t="s">
        <v>335</v>
      </c>
      <c r="N21" s="7" t="s">
        <v>1376</v>
      </c>
      <c r="O21" s="23" t="s">
        <v>335</v>
      </c>
      <c r="P21" s="68" t="s">
        <v>1351</v>
      </c>
      <c r="Q21" s="23" t="s">
        <v>335</v>
      </c>
      <c r="V21" s="66">
        <v>25</v>
      </c>
      <c r="W21" s="10">
        <v>5</v>
      </c>
    </row>
    <row r="22" spans="2:23" ht="140.25">
      <c r="B22" s="63" t="s">
        <v>1377</v>
      </c>
      <c r="C22" s="5"/>
      <c r="D22" s="58" t="s">
        <v>1232</v>
      </c>
      <c r="E22" s="5" t="s">
        <v>1378</v>
      </c>
      <c r="F22" s="7" t="s">
        <v>1326</v>
      </c>
      <c r="G22" s="5" t="s">
        <v>1379</v>
      </c>
      <c r="H22" s="58" t="s">
        <v>327</v>
      </c>
      <c r="I22" s="7" t="s">
        <v>1379</v>
      </c>
      <c r="J22" s="5" t="s">
        <v>1380</v>
      </c>
      <c r="K22" s="5" t="s">
        <v>1381</v>
      </c>
      <c r="L22" s="5" t="s">
        <v>1382</v>
      </c>
      <c r="M22" s="5" t="s">
        <v>1383</v>
      </c>
      <c r="N22" s="5" t="s">
        <v>1384</v>
      </c>
      <c r="O22" s="5" t="s">
        <v>1383</v>
      </c>
      <c r="P22" s="5" t="s">
        <v>379</v>
      </c>
      <c r="Q22" s="5" t="s">
        <v>1385</v>
      </c>
      <c r="R22" s="69"/>
      <c r="S22" s="69"/>
      <c r="T22" s="69"/>
      <c r="U22" s="69"/>
      <c r="V22" s="69">
        <v>25</v>
      </c>
      <c r="W22" s="10">
        <v>5</v>
      </c>
    </row>
    <row r="23" spans="2:23" ht="153">
      <c r="B23" s="63" t="s">
        <v>1386</v>
      </c>
      <c r="C23" s="5"/>
      <c r="D23" s="58" t="s">
        <v>1232</v>
      </c>
      <c r="E23" s="5" t="s">
        <v>1387</v>
      </c>
      <c r="F23" s="7" t="s">
        <v>1326</v>
      </c>
      <c r="G23" s="5" t="s">
        <v>1388</v>
      </c>
      <c r="H23" s="58" t="s">
        <v>327</v>
      </c>
      <c r="I23" s="5" t="s">
        <v>1388</v>
      </c>
      <c r="J23" s="5" t="s">
        <v>1389</v>
      </c>
      <c r="K23" s="5" t="s">
        <v>1390</v>
      </c>
      <c r="L23" s="5" t="s">
        <v>1391</v>
      </c>
      <c r="M23" s="5"/>
      <c r="N23" s="5" t="s">
        <v>1392</v>
      </c>
      <c r="O23" s="5" t="s">
        <v>1393</v>
      </c>
      <c r="P23" s="70" t="s">
        <v>379</v>
      </c>
      <c r="Q23" s="5" t="s">
        <v>1393</v>
      </c>
      <c r="R23" s="69"/>
      <c r="S23" s="69"/>
      <c r="T23" s="69"/>
      <c r="U23" s="69"/>
      <c r="V23" s="69">
        <v>25</v>
      </c>
      <c r="W23" s="10">
        <v>5</v>
      </c>
    </row>
    <row r="24" spans="2:23" ht="267.75">
      <c r="B24" s="63" t="s">
        <v>1394</v>
      </c>
      <c r="C24" s="5"/>
      <c r="D24" s="58" t="s">
        <v>1232</v>
      </c>
      <c r="E24" s="5" t="s">
        <v>1395</v>
      </c>
      <c r="F24" s="7" t="s">
        <v>1326</v>
      </c>
      <c r="G24" s="5" t="s">
        <v>1396</v>
      </c>
      <c r="H24" s="58" t="s">
        <v>327</v>
      </c>
      <c r="I24" s="5" t="s">
        <v>1396</v>
      </c>
      <c r="J24" s="5" t="s">
        <v>1397</v>
      </c>
      <c r="K24" s="5" t="s">
        <v>1398</v>
      </c>
      <c r="L24" s="5" t="s">
        <v>1399</v>
      </c>
      <c r="M24" s="5" t="s">
        <v>1400</v>
      </c>
      <c r="N24" s="5" t="s">
        <v>1401</v>
      </c>
      <c r="O24" s="5" t="s">
        <v>1400</v>
      </c>
      <c r="P24" s="5" t="s">
        <v>1402</v>
      </c>
      <c r="Q24" s="5" t="s">
        <v>1400</v>
      </c>
      <c r="R24" s="69"/>
      <c r="S24" s="69"/>
      <c r="T24" s="69"/>
      <c r="U24" s="69"/>
      <c r="V24" s="69"/>
    </row>
    <row r="25" spans="2:23" ht="165.75">
      <c r="B25" s="63" t="s">
        <v>1403</v>
      </c>
      <c r="C25" s="5"/>
      <c r="D25" s="58" t="s">
        <v>1232</v>
      </c>
      <c r="E25" s="5" t="s">
        <v>1404</v>
      </c>
      <c r="F25" s="7" t="s">
        <v>1326</v>
      </c>
      <c r="G25" s="5" t="s">
        <v>1405</v>
      </c>
      <c r="H25" s="58" t="s">
        <v>327</v>
      </c>
      <c r="I25" s="5" t="s">
        <v>1405</v>
      </c>
      <c r="J25" s="5" t="s">
        <v>1406</v>
      </c>
      <c r="K25" s="5" t="s">
        <v>1407</v>
      </c>
      <c r="L25" s="5" t="s">
        <v>1408</v>
      </c>
      <c r="M25" s="5" t="s">
        <v>1407</v>
      </c>
      <c r="N25" s="5" t="s">
        <v>1409</v>
      </c>
      <c r="O25" s="5" t="s">
        <v>1407</v>
      </c>
      <c r="P25" s="70" t="s">
        <v>1410</v>
      </c>
      <c r="Q25" s="5" t="s">
        <v>1407</v>
      </c>
      <c r="R25" s="5" t="s">
        <v>1411</v>
      </c>
      <c r="S25" s="69"/>
      <c r="T25" s="69"/>
      <c r="U25" s="69"/>
      <c r="V25" s="69">
        <v>15</v>
      </c>
      <c r="W25" s="10">
        <v>5</v>
      </c>
    </row>
  </sheetData>
  <mergeCells count="9">
    <mergeCell ref="W3:W4"/>
    <mergeCell ref="B4:B5"/>
    <mergeCell ref="C4:C5"/>
    <mergeCell ref="D4:D5"/>
    <mergeCell ref="E4:E5"/>
    <mergeCell ref="F4:F5"/>
    <mergeCell ref="G4:G5"/>
    <mergeCell ref="H4:H5"/>
    <mergeCell ref="I4:U4"/>
  </mergeCells>
  <hyperlinks>
    <hyperlink ref="K6" r:id="rId1" xr:uid="{00000000-0004-0000-0500-000000000000}"/>
    <hyperlink ref="K7" r:id="rId2" xr:uid="{00000000-0004-0000-0500-000001000000}"/>
    <hyperlink ref="K9" r:id="rId3" xr:uid="{00000000-0004-0000-0500-000002000000}"/>
    <hyperlink ref="K10" r:id="rId4" xr:uid="{00000000-0004-0000-0500-000003000000}"/>
    <hyperlink ref="K11" r:id="rId5" xr:uid="{00000000-0004-0000-0500-000004000000}"/>
    <hyperlink ref="K12" r:id="rId6" xr:uid="{00000000-0004-0000-0500-000005000000}"/>
    <hyperlink ref="K13" r:id="rId7" xr:uid="{00000000-0004-0000-0500-000006000000}"/>
    <hyperlink ref="K16" r:id="rId8" xr:uid="{00000000-0004-0000-0500-000007000000}"/>
    <hyperlink ref="K17" r:id="rId9" xr:uid="{00000000-0004-0000-0500-000008000000}"/>
    <hyperlink ref="K18" r:id="rId10" xr:uid="{00000000-0004-0000-0500-000009000000}"/>
    <hyperlink ref="K19" r:id="rId11" xr:uid="{00000000-0004-0000-0500-00000A000000}"/>
    <hyperlink ref="K20" r:id="rId12" xr:uid="{00000000-0004-0000-0500-00000B000000}"/>
  </hyperlinks>
  <pageMargins left="0.75" right="0.75" top="1" bottom="1" header="0.51180555555555496" footer="0.51180555555555496"/>
  <pageSetup paperSize="9" firstPageNumber="0" orientation="portrait" horizontalDpi="300" verticalDpi="300"/>
  <legacyDrawing r:id="rId1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W20"/>
  <sheetViews>
    <sheetView zoomScale="57" zoomScaleNormal="57" workbookViewId="0"/>
  </sheetViews>
  <sheetFormatPr defaultColWidth="7.42578125" defaultRowHeight="12.75"/>
  <cols>
    <col min="2" max="4" width="13.7109375" style="10" customWidth="1"/>
    <col min="5" max="5" width="21.7109375" style="10" customWidth="1"/>
    <col min="6" max="6" width="20.42578125" style="10" customWidth="1"/>
    <col min="7" max="7" width="25.85546875" style="10" customWidth="1"/>
    <col min="8" max="8" width="25.28515625" style="10" customWidth="1"/>
    <col min="9" max="9" width="22.140625" style="10" customWidth="1"/>
    <col min="10" max="10" width="36.42578125" style="10" customWidth="1"/>
    <col min="11" max="11" width="25.85546875" style="10" customWidth="1"/>
    <col min="12" max="12" width="28" style="10" customWidth="1"/>
    <col min="13" max="13" width="27.28515625" style="10" customWidth="1"/>
    <col min="14" max="14" width="25.85546875" style="10" customWidth="1"/>
    <col min="15" max="15" width="21" style="10" customWidth="1"/>
    <col min="16" max="16" width="24.85546875" style="10" customWidth="1"/>
    <col min="17" max="17" width="22.5703125" style="10" customWidth="1"/>
    <col min="18" max="18" width="23" style="10" customWidth="1"/>
    <col min="19" max="19" width="19.42578125" style="10" customWidth="1"/>
    <col min="20" max="20" width="13.7109375" style="10" customWidth="1"/>
    <col min="21" max="21" width="25.140625" style="10" customWidth="1"/>
    <col min="22" max="22" width="12.7109375" style="10" customWidth="1"/>
    <col min="23" max="23" width="14.42578125" style="10" customWidth="1"/>
  </cols>
  <sheetData>
    <row r="3" spans="2:23">
      <c r="W3" s="3"/>
    </row>
    <row r="4" spans="2:23" ht="14.1" customHeight="1">
      <c r="B4" s="3" t="s">
        <v>321</v>
      </c>
      <c r="C4" s="3" t="s">
        <v>0</v>
      </c>
      <c r="D4" s="3" t="s">
        <v>1</v>
      </c>
      <c r="E4" s="3" t="s">
        <v>2</v>
      </c>
      <c r="F4" s="3" t="s">
        <v>3</v>
      </c>
      <c r="G4" s="3" t="s">
        <v>4</v>
      </c>
      <c r="H4" s="3" t="s">
        <v>5</v>
      </c>
      <c r="I4" s="3" t="s">
        <v>6</v>
      </c>
      <c r="J4" s="3"/>
      <c r="K4" s="3"/>
      <c r="L4" s="3"/>
      <c r="M4" s="3"/>
      <c r="N4" s="3"/>
      <c r="O4" s="3"/>
      <c r="P4" s="3"/>
      <c r="Q4" s="3"/>
      <c r="R4" s="3"/>
      <c r="S4" s="3"/>
      <c r="T4" s="3"/>
      <c r="U4" s="3"/>
      <c r="W4" s="3"/>
    </row>
    <row r="5" spans="2:23" ht="75">
      <c r="B5" s="3"/>
      <c r="C5" s="3"/>
      <c r="D5" s="3"/>
      <c r="E5" s="3"/>
      <c r="F5" s="3"/>
      <c r="G5" s="3"/>
      <c r="H5" s="3"/>
      <c r="I5" s="7" t="s">
        <v>7</v>
      </c>
      <c r="J5" s="7" t="s">
        <v>8</v>
      </c>
      <c r="K5" s="7" t="s">
        <v>9</v>
      </c>
      <c r="L5" s="7" t="s">
        <v>10</v>
      </c>
      <c r="M5" s="7" t="s">
        <v>9</v>
      </c>
      <c r="N5" s="7" t="s">
        <v>11</v>
      </c>
      <c r="O5" s="7" t="s">
        <v>9</v>
      </c>
      <c r="P5" s="7" t="s">
        <v>12</v>
      </c>
      <c r="Q5" s="7" t="s">
        <v>9</v>
      </c>
      <c r="R5" s="7" t="s">
        <v>13</v>
      </c>
      <c r="S5" s="7" t="s">
        <v>9</v>
      </c>
      <c r="T5" s="7" t="s">
        <v>14</v>
      </c>
      <c r="U5" s="7" t="s">
        <v>9</v>
      </c>
      <c r="V5" s="6" t="s">
        <v>15</v>
      </c>
      <c r="W5" s="6" t="s">
        <v>16</v>
      </c>
    </row>
    <row r="6" spans="2:23" ht="195">
      <c r="B6" s="7" t="s">
        <v>1412</v>
      </c>
      <c r="C6" s="7" t="s">
        <v>911</v>
      </c>
      <c r="D6" s="7" t="s">
        <v>1413</v>
      </c>
      <c r="E6" s="7" t="s">
        <v>1414</v>
      </c>
      <c r="F6" s="7" t="s">
        <v>1415</v>
      </c>
      <c r="G6" s="7" t="s">
        <v>1416</v>
      </c>
      <c r="H6" s="7" t="s">
        <v>1165</v>
      </c>
      <c r="I6" s="7" t="s">
        <v>1416</v>
      </c>
      <c r="J6" s="7" t="s">
        <v>1417</v>
      </c>
      <c r="K6" s="7" t="s">
        <v>1418</v>
      </c>
      <c r="L6" s="7" t="s">
        <v>1419</v>
      </c>
      <c r="M6" s="7" t="s">
        <v>953</v>
      </c>
      <c r="N6" s="7" t="s">
        <v>1420</v>
      </c>
      <c r="O6" s="7" t="s">
        <v>953</v>
      </c>
      <c r="P6" s="7" t="s">
        <v>1421</v>
      </c>
      <c r="Q6" s="7" t="s">
        <v>953</v>
      </c>
      <c r="R6" s="7" t="s">
        <v>1422</v>
      </c>
      <c r="S6" s="7" t="s">
        <v>1172</v>
      </c>
      <c r="T6" s="7" t="s">
        <v>1423</v>
      </c>
      <c r="U6" s="7" t="s">
        <v>1424</v>
      </c>
      <c r="V6" s="49">
        <v>25</v>
      </c>
      <c r="W6" s="7">
        <v>15</v>
      </c>
    </row>
    <row r="7" spans="2:23" ht="195">
      <c r="B7" s="23" t="s">
        <v>1425</v>
      </c>
      <c r="C7" s="23"/>
      <c r="D7" s="7" t="s">
        <v>1413</v>
      </c>
      <c r="E7" s="7" t="s">
        <v>1426</v>
      </c>
      <c r="F7" s="7" t="s">
        <v>1415</v>
      </c>
      <c r="G7" s="7" t="s">
        <v>1416</v>
      </c>
      <c r="H7" s="7" t="s">
        <v>1165</v>
      </c>
      <c r="I7" s="7" t="s">
        <v>1416</v>
      </c>
      <c r="J7" s="13" t="s">
        <v>1427</v>
      </c>
      <c r="K7" s="7" t="s">
        <v>1428</v>
      </c>
      <c r="L7" s="41" t="s">
        <v>1429</v>
      </c>
      <c r="M7" s="7" t="s">
        <v>953</v>
      </c>
      <c r="N7" s="41" t="s">
        <v>1430</v>
      </c>
      <c r="O7" s="7" t="s">
        <v>953</v>
      </c>
      <c r="P7" s="71" t="s">
        <v>1431</v>
      </c>
      <c r="Q7" s="7" t="s">
        <v>953</v>
      </c>
      <c r="R7" s="7" t="s">
        <v>1422</v>
      </c>
      <c r="S7" s="7" t="s">
        <v>1172</v>
      </c>
      <c r="T7" s="7" t="s">
        <v>1423</v>
      </c>
      <c r="U7" s="7" t="s">
        <v>1424</v>
      </c>
      <c r="V7" s="23">
        <v>30</v>
      </c>
      <c r="W7" s="23">
        <v>15</v>
      </c>
    </row>
    <row r="8" spans="2:23" ht="195">
      <c r="B8" s="23" t="s">
        <v>1432</v>
      </c>
      <c r="C8" s="23"/>
      <c r="D8" s="7" t="s">
        <v>1413</v>
      </c>
      <c r="E8" s="7" t="s">
        <v>1433</v>
      </c>
      <c r="F8" s="7" t="s">
        <v>1415</v>
      </c>
      <c r="G8" s="7" t="s">
        <v>1416</v>
      </c>
      <c r="H8" s="7" t="s">
        <v>1165</v>
      </c>
      <c r="I8" s="7" t="s">
        <v>1416</v>
      </c>
      <c r="J8" s="7" t="s">
        <v>1434</v>
      </c>
      <c r="K8" s="7" t="s">
        <v>1435</v>
      </c>
      <c r="L8" s="71" t="s">
        <v>1436</v>
      </c>
      <c r="M8" s="7" t="s">
        <v>953</v>
      </c>
      <c r="N8" s="7" t="s">
        <v>1430</v>
      </c>
      <c r="O8" s="7" t="s">
        <v>953</v>
      </c>
      <c r="P8" s="7" t="s">
        <v>1431</v>
      </c>
      <c r="Q8" s="7" t="s">
        <v>953</v>
      </c>
      <c r="R8" s="7" t="s">
        <v>1422</v>
      </c>
      <c r="S8" s="7" t="s">
        <v>1172</v>
      </c>
      <c r="T8" s="7" t="s">
        <v>1423</v>
      </c>
      <c r="U8" s="7" t="s">
        <v>1424</v>
      </c>
      <c r="V8" s="23">
        <v>25</v>
      </c>
      <c r="W8" s="23">
        <v>15</v>
      </c>
    </row>
    <row r="9" spans="2:23" ht="180">
      <c r="B9" s="23" t="s">
        <v>1437</v>
      </c>
      <c r="C9" s="23"/>
      <c r="D9" s="7" t="s">
        <v>1413</v>
      </c>
      <c r="E9" s="7" t="s">
        <v>1438</v>
      </c>
      <c r="F9" s="23" t="s">
        <v>1439</v>
      </c>
      <c r="G9" s="23" t="s">
        <v>1440</v>
      </c>
      <c r="H9" s="7" t="s">
        <v>1165</v>
      </c>
      <c r="I9" s="23" t="s">
        <v>1440</v>
      </c>
      <c r="J9" s="7" t="s">
        <v>1441</v>
      </c>
      <c r="K9" s="7" t="s">
        <v>1442</v>
      </c>
      <c r="L9" s="7" t="s">
        <v>1443</v>
      </c>
      <c r="M9" s="7" t="s">
        <v>953</v>
      </c>
      <c r="N9" s="7" t="s">
        <v>1444</v>
      </c>
      <c r="O9" s="7" t="s">
        <v>953</v>
      </c>
      <c r="P9" s="7" t="s">
        <v>1445</v>
      </c>
      <c r="Q9" s="7" t="s">
        <v>953</v>
      </c>
      <c r="R9" s="72"/>
      <c r="S9" s="23"/>
      <c r="T9" s="23" t="s">
        <v>1446</v>
      </c>
      <c r="U9" s="7" t="s">
        <v>1447</v>
      </c>
      <c r="V9" s="23">
        <v>30</v>
      </c>
      <c r="W9" s="23">
        <v>5</v>
      </c>
    </row>
    <row r="10" spans="2:23" ht="180">
      <c r="B10" s="23" t="s">
        <v>1448</v>
      </c>
      <c r="C10" s="23"/>
      <c r="D10" s="7" t="s">
        <v>1413</v>
      </c>
      <c r="E10" s="7" t="s">
        <v>1438</v>
      </c>
      <c r="F10" s="23" t="s">
        <v>1439</v>
      </c>
      <c r="G10" s="23" t="s">
        <v>1440</v>
      </c>
      <c r="H10" s="7" t="s">
        <v>1165</v>
      </c>
      <c r="I10" s="23" t="s">
        <v>1440</v>
      </c>
      <c r="J10" s="7" t="s">
        <v>1449</v>
      </c>
      <c r="K10" s="7" t="s">
        <v>1450</v>
      </c>
      <c r="L10" s="7" t="s">
        <v>1451</v>
      </c>
      <c r="M10" s="7" t="s">
        <v>953</v>
      </c>
      <c r="N10" s="7" t="s">
        <v>1444</v>
      </c>
      <c r="O10" s="7" t="s">
        <v>953</v>
      </c>
      <c r="P10" s="7" t="s">
        <v>1445</v>
      </c>
      <c r="Q10" s="7" t="s">
        <v>953</v>
      </c>
      <c r="R10" s="72"/>
      <c r="S10" s="23"/>
      <c r="T10" s="23" t="s">
        <v>1446</v>
      </c>
      <c r="U10" s="7" t="s">
        <v>1447</v>
      </c>
      <c r="V10" s="23">
        <v>25</v>
      </c>
      <c r="W10" s="23">
        <v>10</v>
      </c>
    </row>
    <row r="11" spans="2:23" ht="210">
      <c r="B11" s="23" t="s">
        <v>1452</v>
      </c>
      <c r="C11" s="23"/>
      <c r="D11" s="7" t="s">
        <v>1413</v>
      </c>
      <c r="E11" s="7" t="s">
        <v>1453</v>
      </c>
      <c r="F11" s="23" t="s">
        <v>1454</v>
      </c>
      <c r="G11" s="23" t="s">
        <v>1455</v>
      </c>
      <c r="H11" s="7" t="s">
        <v>1165</v>
      </c>
      <c r="I11" s="23" t="s">
        <v>1455</v>
      </c>
      <c r="J11" s="7" t="s">
        <v>1456</v>
      </c>
      <c r="K11" s="7" t="s">
        <v>953</v>
      </c>
      <c r="L11" s="7" t="s">
        <v>1457</v>
      </c>
      <c r="M11" s="7" t="s">
        <v>953</v>
      </c>
      <c r="N11" s="7" t="s">
        <v>1458</v>
      </c>
      <c r="O11" s="7" t="s">
        <v>953</v>
      </c>
      <c r="P11" s="7" t="s">
        <v>379</v>
      </c>
      <c r="Q11" s="7" t="s">
        <v>953</v>
      </c>
      <c r="R11" s="71" t="s">
        <v>1459</v>
      </c>
      <c r="S11" s="23"/>
      <c r="T11" s="23" t="s">
        <v>1460</v>
      </c>
      <c r="U11" s="23" t="s">
        <v>1461</v>
      </c>
      <c r="V11" s="23">
        <v>20</v>
      </c>
      <c r="W11" s="23">
        <v>10</v>
      </c>
    </row>
    <row r="12" spans="2:23" ht="360">
      <c r="B12" s="23" t="s">
        <v>1462</v>
      </c>
      <c r="C12" s="23"/>
      <c r="D12" s="7" t="s">
        <v>1413</v>
      </c>
      <c r="E12" s="7" t="s">
        <v>1463</v>
      </c>
      <c r="F12" s="23" t="s">
        <v>1464</v>
      </c>
      <c r="G12" s="23" t="s">
        <v>1465</v>
      </c>
      <c r="H12" s="7" t="s">
        <v>1165</v>
      </c>
      <c r="I12" s="23" t="s">
        <v>1465</v>
      </c>
      <c r="J12" s="7" t="s">
        <v>1466</v>
      </c>
      <c r="K12" s="7" t="s">
        <v>953</v>
      </c>
      <c r="L12" s="7" t="s">
        <v>1467</v>
      </c>
      <c r="M12" s="7" t="s">
        <v>953</v>
      </c>
      <c r="N12" s="7" t="s">
        <v>1468</v>
      </c>
      <c r="O12" s="7" t="s">
        <v>953</v>
      </c>
      <c r="P12" s="7" t="s">
        <v>1469</v>
      </c>
      <c r="Q12" s="7" t="s">
        <v>953</v>
      </c>
      <c r="R12" s="7" t="s">
        <v>1470</v>
      </c>
      <c r="S12" s="7" t="s">
        <v>953</v>
      </c>
      <c r="T12" s="23"/>
      <c r="U12" s="23"/>
      <c r="V12" s="23">
        <v>30</v>
      </c>
      <c r="W12" s="23">
        <v>25</v>
      </c>
    </row>
    <row r="13" spans="2:23" s="5" customFormat="1" ht="300">
      <c r="B13" s="23" t="s">
        <v>1471</v>
      </c>
      <c r="C13" s="23"/>
      <c r="D13" s="7" t="s">
        <v>1413</v>
      </c>
      <c r="E13" s="23" t="s">
        <v>1472</v>
      </c>
      <c r="F13" s="23" t="s">
        <v>185</v>
      </c>
      <c r="G13" s="23" t="s">
        <v>1473</v>
      </c>
      <c r="H13" s="7" t="s">
        <v>22</v>
      </c>
      <c r="I13" s="23" t="s">
        <v>1473</v>
      </c>
      <c r="J13" s="23" t="s">
        <v>1474</v>
      </c>
      <c r="K13" s="23" t="s">
        <v>1475</v>
      </c>
      <c r="L13" s="23" t="s">
        <v>1476</v>
      </c>
      <c r="M13" s="23" t="s">
        <v>1477</v>
      </c>
      <c r="N13" s="23" t="s">
        <v>1478</v>
      </c>
      <c r="O13" s="23" t="s">
        <v>1477</v>
      </c>
      <c r="P13" s="23" t="s">
        <v>1479</v>
      </c>
      <c r="Q13" s="23" t="s">
        <v>1477</v>
      </c>
      <c r="R13" s="23"/>
      <c r="S13" s="23"/>
      <c r="T13" s="23"/>
      <c r="U13" s="23"/>
      <c r="V13" s="23">
        <v>15</v>
      </c>
      <c r="W13" s="23">
        <v>10</v>
      </c>
    </row>
    <row r="14" spans="2:23" ht="255">
      <c r="B14" s="23" t="s">
        <v>1480</v>
      </c>
      <c r="C14" s="23"/>
      <c r="D14" s="23"/>
      <c r="E14" s="23" t="s">
        <v>1481</v>
      </c>
      <c r="F14" s="23" t="s">
        <v>20</v>
      </c>
      <c r="G14" s="23" t="s">
        <v>1482</v>
      </c>
      <c r="H14" s="7" t="s">
        <v>22</v>
      </c>
      <c r="I14" s="23" t="s">
        <v>1483</v>
      </c>
      <c r="J14" s="23" t="s">
        <v>1484</v>
      </c>
      <c r="K14" s="23" t="s">
        <v>1485</v>
      </c>
      <c r="L14" s="23" t="s">
        <v>1486</v>
      </c>
      <c r="M14" s="23" t="s">
        <v>1485</v>
      </c>
      <c r="N14" s="23" t="s">
        <v>1487</v>
      </c>
      <c r="O14" s="23" t="s">
        <v>1485</v>
      </c>
      <c r="P14" s="60" t="s">
        <v>1488</v>
      </c>
      <c r="Q14" s="23" t="s">
        <v>1485</v>
      </c>
      <c r="R14" s="23" t="s">
        <v>1489</v>
      </c>
      <c r="S14" s="23" t="s">
        <v>1490</v>
      </c>
      <c r="T14" s="23"/>
      <c r="U14" s="23"/>
      <c r="V14" s="23">
        <v>15</v>
      </c>
      <c r="W14" s="38">
        <v>10</v>
      </c>
    </row>
    <row r="15" spans="2:23" ht="15">
      <c r="B15" s="23"/>
      <c r="C15" s="23"/>
      <c r="D15" s="23"/>
      <c r="E15" s="23"/>
      <c r="F15" s="23"/>
      <c r="G15" s="23"/>
      <c r="H15" s="23"/>
      <c r="I15" s="23"/>
      <c r="J15" s="23"/>
      <c r="K15" s="23"/>
      <c r="L15" s="23"/>
      <c r="M15" s="23"/>
      <c r="N15" s="23"/>
      <c r="O15" s="23"/>
      <c r="P15" s="23"/>
      <c r="Q15" s="23"/>
      <c r="R15" s="23"/>
      <c r="S15" s="23"/>
      <c r="T15" s="23"/>
      <c r="U15" s="23"/>
      <c r="V15" s="23"/>
      <c r="W15" s="23"/>
    </row>
    <row r="16" spans="2:23" ht="15">
      <c r="B16" s="23"/>
      <c r="C16" s="23"/>
      <c r="D16" s="23"/>
      <c r="E16" s="23"/>
      <c r="F16" s="23"/>
      <c r="G16" s="23"/>
      <c r="H16" s="23"/>
      <c r="I16" s="23"/>
      <c r="J16" s="23"/>
      <c r="K16" s="23"/>
      <c r="L16" s="23"/>
      <c r="M16" s="23"/>
      <c r="N16" s="23"/>
      <c r="O16" s="23"/>
      <c r="P16" s="23"/>
      <c r="Q16" s="23"/>
      <c r="R16" s="23"/>
      <c r="S16" s="23"/>
      <c r="T16" s="23"/>
      <c r="U16" s="23"/>
      <c r="V16" s="23"/>
      <c r="W16" s="23"/>
    </row>
    <row r="17" spans="2:23" ht="15">
      <c r="B17" s="23"/>
      <c r="C17" s="23"/>
      <c r="D17" s="23"/>
      <c r="E17" s="23"/>
      <c r="F17" s="23"/>
      <c r="G17" s="23"/>
      <c r="H17" s="23"/>
      <c r="I17" s="23"/>
      <c r="J17" s="23"/>
      <c r="K17" s="23"/>
      <c r="L17" s="23"/>
      <c r="M17" s="23"/>
      <c r="N17" s="23"/>
      <c r="O17" s="23"/>
      <c r="P17" s="23"/>
      <c r="Q17" s="23"/>
      <c r="R17" s="23"/>
      <c r="S17" s="23"/>
      <c r="T17" s="23"/>
      <c r="U17" s="23"/>
      <c r="V17" s="23"/>
      <c r="W17" s="23"/>
    </row>
    <row r="18" spans="2:23" ht="15">
      <c r="B18" s="23"/>
      <c r="C18" s="23"/>
      <c r="D18" s="23"/>
      <c r="E18" s="23"/>
      <c r="F18" s="23"/>
      <c r="G18" s="23"/>
      <c r="H18" s="23"/>
      <c r="I18" s="23"/>
      <c r="J18" s="23"/>
      <c r="K18" s="23"/>
      <c r="L18" s="23"/>
      <c r="M18" s="23"/>
      <c r="N18" s="23"/>
      <c r="O18" s="23"/>
      <c r="P18" s="23"/>
      <c r="Q18" s="23"/>
      <c r="R18" s="23"/>
      <c r="S18" s="23"/>
      <c r="T18" s="23"/>
      <c r="U18" s="23"/>
      <c r="V18" s="23"/>
      <c r="W18" s="23"/>
    </row>
    <row r="19" spans="2:23" ht="15">
      <c r="B19" s="23"/>
      <c r="C19" s="23"/>
      <c r="D19" s="23"/>
      <c r="E19" s="23"/>
      <c r="F19" s="23"/>
      <c r="G19" s="23"/>
      <c r="H19" s="23"/>
      <c r="I19" s="23"/>
      <c r="J19" s="23"/>
      <c r="K19" s="23"/>
      <c r="L19" s="23"/>
      <c r="M19" s="23"/>
      <c r="N19" s="23"/>
      <c r="O19" s="23"/>
      <c r="P19" s="23"/>
      <c r="Q19" s="23"/>
      <c r="R19" s="23"/>
      <c r="S19" s="23"/>
      <c r="T19" s="23"/>
      <c r="U19" s="23"/>
      <c r="V19" s="23"/>
      <c r="W19" s="23"/>
    </row>
    <row r="20" spans="2:23" ht="15">
      <c r="B20" s="44"/>
      <c r="C20" s="44"/>
      <c r="D20" s="44"/>
      <c r="E20" s="44"/>
      <c r="F20" s="44"/>
      <c r="G20" s="44"/>
      <c r="H20" s="44"/>
      <c r="I20" s="44"/>
      <c r="J20" s="44"/>
      <c r="K20" s="44"/>
      <c r="L20" s="44"/>
      <c r="M20" s="44"/>
      <c r="N20" s="23"/>
      <c r="O20" s="23"/>
      <c r="P20" s="23"/>
      <c r="Q20" s="23"/>
      <c r="R20" s="23"/>
      <c r="S20" s="23"/>
      <c r="T20" s="23"/>
      <c r="U20" s="23"/>
      <c r="V20" s="23"/>
      <c r="W20" s="23"/>
    </row>
  </sheetData>
  <mergeCells count="9">
    <mergeCell ref="W3:W4"/>
    <mergeCell ref="B4:B5"/>
    <mergeCell ref="C4:C5"/>
    <mergeCell ref="D4:D5"/>
    <mergeCell ref="E4:E5"/>
    <mergeCell ref="F4:F5"/>
    <mergeCell ref="G4:G5"/>
    <mergeCell ref="H4:H5"/>
    <mergeCell ref="I4:U4"/>
  </mergeCells>
  <hyperlinks>
    <hyperlink ref="U6" r:id="rId1" xr:uid="{00000000-0004-0000-0600-000000000000}"/>
    <hyperlink ref="K7" r:id="rId2" xr:uid="{00000000-0004-0000-0600-000001000000}"/>
    <hyperlink ref="U7" r:id="rId3" xr:uid="{00000000-0004-0000-0600-000002000000}"/>
    <hyperlink ref="K8" r:id="rId4" xr:uid="{00000000-0004-0000-0600-000003000000}"/>
    <hyperlink ref="U8" r:id="rId5" xr:uid="{00000000-0004-0000-0600-000004000000}"/>
    <hyperlink ref="K9" r:id="rId6" xr:uid="{00000000-0004-0000-0600-000005000000}"/>
    <hyperlink ref="K10" r:id="rId7" xr:uid="{00000000-0004-0000-0600-000006000000}"/>
    <hyperlink ref="K13" r:id="rId8" xr:uid="{00000000-0004-0000-0600-000007000000}"/>
  </hyperlinks>
  <pageMargins left="0.75" right="0.75" top="1" bottom="1" header="0.51180555555555496" footer="0.51180555555555496"/>
  <pageSetup paperSize="9" firstPageNumber="0" orientation="portrait" horizontalDpi="300" verticalDpi="300"/>
  <legacyDrawing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X19"/>
  <sheetViews>
    <sheetView zoomScale="57" zoomScaleNormal="57" workbookViewId="0"/>
  </sheetViews>
  <sheetFormatPr defaultColWidth="7.42578125" defaultRowHeight="12.75"/>
  <cols>
    <col min="2" max="2" width="13" style="10" customWidth="1"/>
    <col min="3" max="3" width="8.7109375" style="10" customWidth="1"/>
    <col min="4" max="4" width="13" style="10" customWidth="1"/>
    <col min="5" max="5" width="23" style="10" customWidth="1"/>
    <col min="6" max="6" width="17.7109375" style="10" customWidth="1"/>
    <col min="7" max="7" width="21" style="10" customWidth="1"/>
    <col min="8" max="8" width="21.28515625" style="10" customWidth="1"/>
    <col min="9" max="9" width="22.85546875" style="10" customWidth="1"/>
    <col min="10" max="10" width="30.5703125" style="10" customWidth="1"/>
    <col min="11" max="11" width="17.5703125" style="10" customWidth="1"/>
    <col min="12" max="12" width="33" style="10" customWidth="1"/>
    <col min="13" max="13" width="15.7109375" style="10" customWidth="1"/>
    <col min="14" max="14" width="35.85546875" style="10" customWidth="1"/>
    <col min="15" max="15" width="20.5703125" style="10" customWidth="1"/>
    <col min="16" max="16" width="38.140625" style="10" customWidth="1"/>
    <col min="17" max="17" width="18" style="10" customWidth="1"/>
    <col min="18" max="18" width="31" style="10" customWidth="1"/>
    <col min="19" max="23" width="13" style="10" customWidth="1"/>
  </cols>
  <sheetData>
    <row r="3" spans="2:23" ht="15">
      <c r="B3" s="72"/>
      <c r="C3" s="72"/>
      <c r="D3" s="72"/>
      <c r="E3" s="72"/>
      <c r="F3" s="72"/>
      <c r="G3" s="72"/>
      <c r="H3" s="72"/>
      <c r="I3" s="72"/>
      <c r="J3" s="72"/>
      <c r="K3" s="72"/>
      <c r="L3" s="72"/>
      <c r="M3" s="72"/>
      <c r="N3" s="72"/>
      <c r="O3" s="72"/>
      <c r="P3" s="72"/>
      <c r="Q3" s="72"/>
      <c r="R3" s="72"/>
      <c r="S3" s="72"/>
      <c r="T3" s="72"/>
      <c r="U3" s="72"/>
      <c r="V3" s="72"/>
      <c r="W3" s="3"/>
    </row>
    <row r="4" spans="2:23" ht="14.1" customHeight="1">
      <c r="B4" s="2" t="s">
        <v>321</v>
      </c>
      <c r="C4" s="2" t="s">
        <v>0</v>
      </c>
      <c r="D4" s="2" t="s">
        <v>1</v>
      </c>
      <c r="E4" s="2" t="s">
        <v>2</v>
      </c>
      <c r="F4" s="2" t="s">
        <v>3</v>
      </c>
      <c r="G4" s="2" t="s">
        <v>4</v>
      </c>
      <c r="H4" s="2" t="s">
        <v>5</v>
      </c>
      <c r="I4" s="3" t="s">
        <v>6</v>
      </c>
      <c r="J4" s="3"/>
      <c r="K4" s="3"/>
      <c r="L4" s="3"/>
      <c r="M4" s="3"/>
      <c r="N4" s="3"/>
      <c r="O4" s="3"/>
      <c r="P4" s="3"/>
      <c r="Q4" s="3"/>
      <c r="R4" s="3"/>
      <c r="S4" s="3"/>
      <c r="T4" s="3"/>
      <c r="U4" s="3"/>
      <c r="V4" s="72"/>
      <c r="W4" s="3"/>
    </row>
    <row r="5" spans="2:23" ht="90">
      <c r="B5" s="2"/>
      <c r="C5" s="2"/>
      <c r="D5" s="2"/>
      <c r="E5" s="2"/>
      <c r="F5" s="2"/>
      <c r="G5" s="2"/>
      <c r="H5" s="2"/>
      <c r="I5" s="7" t="s">
        <v>7</v>
      </c>
      <c r="J5" s="7" t="s">
        <v>8</v>
      </c>
      <c r="K5" s="7" t="s">
        <v>9</v>
      </c>
      <c r="L5" s="7" t="s">
        <v>10</v>
      </c>
      <c r="M5" s="7" t="s">
        <v>9</v>
      </c>
      <c r="N5" s="7" t="s">
        <v>11</v>
      </c>
      <c r="O5" s="7" t="s">
        <v>9</v>
      </c>
      <c r="P5" s="7" t="s">
        <v>12</v>
      </c>
      <c r="Q5" s="7" t="s">
        <v>9</v>
      </c>
      <c r="R5" s="7" t="s">
        <v>13</v>
      </c>
      <c r="S5" s="7" t="s">
        <v>9</v>
      </c>
      <c r="T5" s="7" t="s">
        <v>14</v>
      </c>
      <c r="U5" s="7" t="s">
        <v>9</v>
      </c>
      <c r="V5" s="6" t="s">
        <v>15</v>
      </c>
      <c r="W5" s="6" t="s">
        <v>16</v>
      </c>
    </row>
    <row r="6" spans="2:23" ht="270">
      <c r="B6" s="23" t="s">
        <v>1491</v>
      </c>
      <c r="C6" s="23"/>
      <c r="D6" s="23" t="s">
        <v>1492</v>
      </c>
      <c r="E6" s="23" t="s">
        <v>1493</v>
      </c>
      <c r="F6" s="23" t="s">
        <v>913</v>
      </c>
      <c r="G6" s="23" t="s">
        <v>1494</v>
      </c>
      <c r="H6" s="7" t="s">
        <v>1165</v>
      </c>
      <c r="I6" s="23" t="s">
        <v>1494</v>
      </c>
      <c r="J6" s="23" t="s">
        <v>1495</v>
      </c>
      <c r="K6" s="23" t="s">
        <v>1496</v>
      </c>
      <c r="L6" s="23" t="s">
        <v>1497</v>
      </c>
      <c r="M6" s="23" t="s">
        <v>1498</v>
      </c>
      <c r="N6" s="60" t="s">
        <v>1499</v>
      </c>
      <c r="O6" s="23" t="s">
        <v>1498</v>
      </c>
      <c r="P6" s="23" t="s">
        <v>1500</v>
      </c>
      <c r="Q6" s="23" t="s">
        <v>1498</v>
      </c>
      <c r="R6" s="23"/>
      <c r="S6" s="23"/>
      <c r="T6" s="23" t="s">
        <v>1501</v>
      </c>
      <c r="U6" s="23" t="s">
        <v>1496</v>
      </c>
      <c r="V6" s="23">
        <v>20</v>
      </c>
      <c r="W6" s="38">
        <v>5</v>
      </c>
    </row>
    <row r="7" spans="2:23" ht="285">
      <c r="B7" s="23" t="s">
        <v>1502</v>
      </c>
      <c r="C7" s="23"/>
      <c r="D7" s="23" t="s">
        <v>1492</v>
      </c>
      <c r="E7" s="23" t="s">
        <v>1503</v>
      </c>
      <c r="F7" s="23" t="s">
        <v>913</v>
      </c>
      <c r="G7" s="23" t="s">
        <v>1494</v>
      </c>
      <c r="H7" s="7" t="s">
        <v>1165</v>
      </c>
      <c r="I7" s="23" t="s">
        <v>1494</v>
      </c>
      <c r="J7" s="23" t="s">
        <v>1504</v>
      </c>
      <c r="K7" s="23" t="s">
        <v>1505</v>
      </c>
      <c r="L7" s="23" t="s">
        <v>1506</v>
      </c>
      <c r="M7" s="23" t="s">
        <v>1505</v>
      </c>
      <c r="N7" s="23" t="s">
        <v>1507</v>
      </c>
      <c r="O7" s="23" t="s">
        <v>1505</v>
      </c>
      <c r="P7" s="23" t="s">
        <v>1508</v>
      </c>
      <c r="Q7" s="23" t="s">
        <v>1505</v>
      </c>
      <c r="R7" s="23" t="s">
        <v>1509</v>
      </c>
      <c r="S7" s="23" t="s">
        <v>1505</v>
      </c>
      <c r="T7" s="23" t="s">
        <v>1501</v>
      </c>
      <c r="U7" s="23" t="s">
        <v>1496</v>
      </c>
      <c r="V7" s="23">
        <v>10</v>
      </c>
      <c r="W7" s="23">
        <v>10</v>
      </c>
    </row>
    <row r="8" spans="2:23" ht="330">
      <c r="B8" s="23" t="s">
        <v>1510</v>
      </c>
      <c r="C8" s="23"/>
      <c r="D8" s="23" t="s">
        <v>1492</v>
      </c>
      <c r="E8" s="23" t="s">
        <v>1511</v>
      </c>
      <c r="F8" s="23" t="s">
        <v>1512</v>
      </c>
      <c r="G8" s="23" t="s">
        <v>1513</v>
      </c>
      <c r="H8" s="7" t="s">
        <v>1165</v>
      </c>
      <c r="I8" s="23" t="s">
        <v>1513</v>
      </c>
      <c r="J8" s="23" t="s">
        <v>1514</v>
      </c>
      <c r="K8" s="23" t="s">
        <v>1515</v>
      </c>
      <c r="L8" s="23" t="s">
        <v>1516</v>
      </c>
      <c r="M8" s="23" t="s">
        <v>1515</v>
      </c>
      <c r="N8" s="23" t="s">
        <v>1517</v>
      </c>
      <c r="O8" s="23" t="s">
        <v>1515</v>
      </c>
      <c r="P8" s="23" t="s">
        <v>1518</v>
      </c>
      <c r="Q8" s="23" t="s">
        <v>1515</v>
      </c>
      <c r="R8" s="23" t="s">
        <v>1519</v>
      </c>
      <c r="S8" s="23"/>
      <c r="T8" s="23" t="s">
        <v>1520</v>
      </c>
      <c r="U8" s="7" t="s">
        <v>1521</v>
      </c>
      <c r="V8" s="23">
        <v>20</v>
      </c>
      <c r="W8" s="23">
        <v>10</v>
      </c>
    </row>
    <row r="9" spans="2:23" ht="360">
      <c r="B9" s="23" t="s">
        <v>1522</v>
      </c>
      <c r="C9" s="23"/>
      <c r="D9" s="23" t="s">
        <v>1492</v>
      </c>
      <c r="E9" s="23" t="s">
        <v>1523</v>
      </c>
      <c r="F9" s="23" t="s">
        <v>1512</v>
      </c>
      <c r="G9" s="23" t="s">
        <v>1513</v>
      </c>
      <c r="H9" s="7" t="s">
        <v>1165</v>
      </c>
      <c r="I9" s="23" t="s">
        <v>1513</v>
      </c>
      <c r="J9" s="23" t="s">
        <v>1524</v>
      </c>
      <c r="K9" s="23" t="s">
        <v>1525</v>
      </c>
      <c r="L9" s="23" t="s">
        <v>1526</v>
      </c>
      <c r="M9" s="23" t="s">
        <v>1527</v>
      </c>
      <c r="N9" s="23" t="s">
        <v>1528</v>
      </c>
      <c r="O9" s="23" t="s">
        <v>1529</v>
      </c>
      <c r="P9" s="23" t="s">
        <v>1530</v>
      </c>
      <c r="Q9" s="23" t="s">
        <v>1527</v>
      </c>
      <c r="R9" s="23" t="s">
        <v>1531</v>
      </c>
      <c r="S9" s="23" t="s">
        <v>1527</v>
      </c>
      <c r="T9" s="23"/>
      <c r="U9" s="23"/>
      <c r="V9" s="23">
        <v>15</v>
      </c>
      <c r="W9" s="23">
        <v>10</v>
      </c>
    </row>
    <row r="10" spans="2:23" ht="135">
      <c r="B10" s="23" t="s">
        <v>1532</v>
      </c>
      <c r="C10" s="23"/>
      <c r="D10" s="23" t="s">
        <v>1492</v>
      </c>
      <c r="E10" s="23" t="s">
        <v>1533</v>
      </c>
      <c r="F10" s="23" t="s">
        <v>1534</v>
      </c>
      <c r="G10" s="23" t="s">
        <v>1535</v>
      </c>
      <c r="H10" s="7" t="s">
        <v>1165</v>
      </c>
      <c r="I10" s="23" t="s">
        <v>1535</v>
      </c>
      <c r="J10" s="23" t="s">
        <v>1536</v>
      </c>
      <c r="K10" s="23" t="s">
        <v>1537</v>
      </c>
      <c r="L10" s="23" t="s">
        <v>1538</v>
      </c>
      <c r="M10" s="23" t="s">
        <v>1539</v>
      </c>
      <c r="N10" s="23" t="s">
        <v>1540</v>
      </c>
      <c r="O10" s="23" t="s">
        <v>1537</v>
      </c>
      <c r="P10" s="23" t="s">
        <v>1541</v>
      </c>
      <c r="Q10" s="23" t="s">
        <v>1537</v>
      </c>
      <c r="R10" s="23" t="s">
        <v>1542</v>
      </c>
      <c r="S10" s="23" t="s">
        <v>1537</v>
      </c>
      <c r="T10" s="23"/>
      <c r="U10" s="23"/>
      <c r="V10" s="23">
        <v>15</v>
      </c>
      <c r="W10" s="23">
        <v>5</v>
      </c>
    </row>
    <row r="11" spans="2:23" ht="270">
      <c r="B11" s="23" t="s">
        <v>1543</v>
      </c>
      <c r="C11" s="23"/>
      <c r="D11" s="23" t="s">
        <v>1492</v>
      </c>
      <c r="E11" s="23" t="s">
        <v>1544</v>
      </c>
      <c r="F11" s="23" t="s">
        <v>283</v>
      </c>
      <c r="G11" s="23" t="s">
        <v>1545</v>
      </c>
      <c r="H11" s="7" t="s">
        <v>1165</v>
      </c>
      <c r="I11" s="23" t="s">
        <v>1545</v>
      </c>
      <c r="J11" s="23" t="s">
        <v>1546</v>
      </c>
      <c r="K11" s="23" t="s">
        <v>1547</v>
      </c>
      <c r="L11" s="23" t="s">
        <v>1548</v>
      </c>
      <c r="M11" s="23" t="s">
        <v>1547</v>
      </c>
      <c r="N11" s="23" t="s">
        <v>1549</v>
      </c>
      <c r="O11" s="23" t="s">
        <v>1550</v>
      </c>
      <c r="P11" s="23" t="s">
        <v>1551</v>
      </c>
      <c r="Q11" s="23" t="s">
        <v>1547</v>
      </c>
      <c r="R11" s="23"/>
      <c r="S11" s="23"/>
      <c r="T11" s="23"/>
      <c r="U11" s="23"/>
      <c r="V11" s="23">
        <v>20</v>
      </c>
      <c r="W11" s="23">
        <v>5</v>
      </c>
    </row>
    <row r="12" spans="2:23" ht="195">
      <c r="B12" s="23" t="s">
        <v>1552</v>
      </c>
      <c r="C12" s="23"/>
      <c r="D12" s="23" t="s">
        <v>1492</v>
      </c>
      <c r="E12" s="23" t="s">
        <v>1553</v>
      </c>
      <c r="F12" s="23" t="s">
        <v>132</v>
      </c>
      <c r="G12" s="23" t="s">
        <v>1554</v>
      </c>
      <c r="H12" s="7" t="s">
        <v>1165</v>
      </c>
      <c r="I12" s="23" t="s">
        <v>1554</v>
      </c>
      <c r="J12" s="23" t="s">
        <v>1555</v>
      </c>
      <c r="K12" s="23" t="s">
        <v>1556</v>
      </c>
      <c r="L12" s="23" t="s">
        <v>1557</v>
      </c>
      <c r="M12" s="7" t="s">
        <v>1558</v>
      </c>
      <c r="N12" s="23" t="s">
        <v>1559</v>
      </c>
      <c r="O12" s="7" t="s">
        <v>1560</v>
      </c>
      <c r="P12" s="23" t="s">
        <v>1561</v>
      </c>
      <c r="Q12" s="23" t="s">
        <v>1562</v>
      </c>
      <c r="R12" s="23"/>
      <c r="S12" s="23"/>
      <c r="T12" s="23" t="s">
        <v>1563</v>
      </c>
      <c r="U12" s="7" t="s">
        <v>1564</v>
      </c>
      <c r="V12" s="23">
        <v>20</v>
      </c>
      <c r="W12" s="23">
        <v>5</v>
      </c>
    </row>
    <row r="13" spans="2:23" ht="195">
      <c r="B13" s="23" t="s">
        <v>1565</v>
      </c>
      <c r="C13" s="23"/>
      <c r="D13" s="23" t="s">
        <v>1492</v>
      </c>
      <c r="E13" s="23" t="s">
        <v>1566</v>
      </c>
      <c r="F13" s="23" t="s">
        <v>132</v>
      </c>
      <c r="G13" s="23" t="s">
        <v>1567</v>
      </c>
      <c r="H13" s="7" t="s">
        <v>1165</v>
      </c>
      <c r="I13" s="23" t="s">
        <v>1567</v>
      </c>
      <c r="J13" s="23" t="s">
        <v>1568</v>
      </c>
      <c r="K13" s="7" t="s">
        <v>1569</v>
      </c>
      <c r="L13" s="23" t="s">
        <v>1570</v>
      </c>
      <c r="M13" s="23" t="s">
        <v>1571</v>
      </c>
      <c r="N13" s="23" t="s">
        <v>1572</v>
      </c>
      <c r="O13" s="23" t="s">
        <v>1571</v>
      </c>
      <c r="P13" s="23" t="s">
        <v>1573</v>
      </c>
      <c r="Q13" s="23" t="s">
        <v>1571</v>
      </c>
      <c r="R13" s="23"/>
      <c r="S13" s="23"/>
      <c r="T13" s="23"/>
      <c r="U13" s="23"/>
      <c r="V13" s="23">
        <v>15</v>
      </c>
      <c r="W13" s="23">
        <v>5</v>
      </c>
    </row>
    <row r="14" spans="2:23" ht="210">
      <c r="B14" s="23" t="s">
        <v>1574</v>
      </c>
      <c r="C14" s="23"/>
      <c r="D14" s="23" t="s">
        <v>1492</v>
      </c>
      <c r="E14" s="23" t="s">
        <v>1575</v>
      </c>
      <c r="F14" s="23" t="s">
        <v>1576</v>
      </c>
      <c r="G14" s="23" t="s">
        <v>1576</v>
      </c>
      <c r="H14" s="7" t="s">
        <v>1165</v>
      </c>
      <c r="I14" s="23" t="s">
        <v>1576</v>
      </c>
      <c r="J14" s="23" t="s">
        <v>1577</v>
      </c>
      <c r="K14" s="23" t="s">
        <v>1578</v>
      </c>
      <c r="L14" s="23" t="s">
        <v>1579</v>
      </c>
      <c r="M14" s="23" t="s">
        <v>1580</v>
      </c>
      <c r="N14" s="23" t="s">
        <v>1581</v>
      </c>
      <c r="O14" s="23" t="s">
        <v>1580</v>
      </c>
      <c r="P14" s="23" t="s">
        <v>1582</v>
      </c>
      <c r="Q14" s="23" t="s">
        <v>1580</v>
      </c>
      <c r="R14" s="23"/>
      <c r="S14" s="23"/>
      <c r="T14" s="23"/>
      <c r="U14" s="23"/>
      <c r="V14" s="23">
        <v>15</v>
      </c>
      <c r="W14" s="23">
        <v>5</v>
      </c>
    </row>
    <row r="15" spans="2:23" ht="255">
      <c r="B15" s="23" t="s">
        <v>1583</v>
      </c>
      <c r="C15" s="23"/>
      <c r="D15" s="23" t="s">
        <v>1232</v>
      </c>
      <c r="E15" s="23" t="s">
        <v>1584</v>
      </c>
      <c r="F15" s="23" t="s">
        <v>283</v>
      </c>
      <c r="G15" s="23" t="s">
        <v>1585</v>
      </c>
      <c r="H15" s="58" t="s">
        <v>327</v>
      </c>
      <c r="I15" s="23" t="s">
        <v>1585</v>
      </c>
      <c r="J15" s="23" t="s">
        <v>1586</v>
      </c>
      <c r="K15" s="23" t="s">
        <v>1587</v>
      </c>
      <c r="L15" s="23" t="s">
        <v>1588</v>
      </c>
      <c r="M15" s="23" t="s">
        <v>335</v>
      </c>
      <c r="N15" s="23" t="s">
        <v>1589</v>
      </c>
      <c r="O15" s="23" t="s">
        <v>335</v>
      </c>
      <c r="P15" s="23" t="s">
        <v>1590</v>
      </c>
      <c r="Q15" s="23" t="s">
        <v>335</v>
      </c>
      <c r="R15" s="5" t="s">
        <v>1591</v>
      </c>
      <c r="S15" s="23"/>
      <c r="T15" s="23"/>
      <c r="U15" s="23"/>
      <c r="V15" s="23">
        <v>25</v>
      </c>
      <c r="W15" s="23">
        <v>10</v>
      </c>
    </row>
    <row r="16" spans="2:23" ht="409.5">
      <c r="B16" s="23" t="s">
        <v>1592</v>
      </c>
      <c r="C16" s="23"/>
      <c r="D16" s="23" t="s">
        <v>1232</v>
      </c>
      <c r="E16" s="23" t="s">
        <v>1593</v>
      </c>
      <c r="F16" s="23" t="s">
        <v>1594</v>
      </c>
      <c r="G16" s="23" t="s">
        <v>1595</v>
      </c>
      <c r="H16" s="58" t="s">
        <v>327</v>
      </c>
      <c r="I16" s="23" t="s">
        <v>1595</v>
      </c>
      <c r="J16" s="23" t="s">
        <v>1596</v>
      </c>
      <c r="K16" s="23" t="s">
        <v>1597</v>
      </c>
      <c r="L16" s="23" t="s">
        <v>1598</v>
      </c>
      <c r="M16" s="23" t="s">
        <v>335</v>
      </c>
      <c r="N16" s="23" t="s">
        <v>1599</v>
      </c>
      <c r="O16" s="23" t="s">
        <v>335</v>
      </c>
      <c r="P16" s="60" t="s">
        <v>1600</v>
      </c>
      <c r="Q16" s="23" t="s">
        <v>335</v>
      </c>
      <c r="R16" s="60" t="s">
        <v>1601</v>
      </c>
      <c r="S16" s="23"/>
      <c r="T16" s="23"/>
      <c r="U16" s="23"/>
      <c r="V16" s="23">
        <v>30</v>
      </c>
      <c r="W16" s="23">
        <v>10</v>
      </c>
    </row>
    <row r="17" spans="2:24" s="72" customFormat="1" ht="165">
      <c r="B17" s="13" t="s">
        <v>1602</v>
      </c>
      <c r="C17" s="73"/>
      <c r="D17" s="13"/>
      <c r="E17" s="13" t="s">
        <v>1603</v>
      </c>
      <c r="F17" s="13" t="s">
        <v>283</v>
      </c>
      <c r="G17" s="13" t="s">
        <v>1604</v>
      </c>
      <c r="H17" s="13" t="s">
        <v>22</v>
      </c>
      <c r="I17" s="13" t="s">
        <v>1604</v>
      </c>
      <c r="J17" s="13" t="s">
        <v>1605</v>
      </c>
      <c r="K17" s="13" t="s">
        <v>1606</v>
      </c>
      <c r="L17" s="13" t="s">
        <v>1607</v>
      </c>
      <c r="M17" s="13" t="s">
        <v>1606</v>
      </c>
      <c r="N17" s="13" t="s">
        <v>1608</v>
      </c>
      <c r="O17" s="13" t="s">
        <v>1606</v>
      </c>
      <c r="P17" s="13" t="s">
        <v>1609</v>
      </c>
      <c r="Q17" s="13" t="s">
        <v>1606</v>
      </c>
      <c r="R17" s="13" t="s">
        <v>1610</v>
      </c>
      <c r="S17" s="13" t="s">
        <v>1611</v>
      </c>
      <c r="T17" s="13"/>
      <c r="U17" s="13"/>
      <c r="V17" s="13">
        <v>15</v>
      </c>
      <c r="W17" s="13">
        <v>5</v>
      </c>
      <c r="X17" s="13"/>
    </row>
    <row r="18" spans="2:24" ht="15">
      <c r="B18" s="23"/>
      <c r="C18" s="23"/>
      <c r="D18" s="23"/>
      <c r="E18" s="23"/>
      <c r="F18" s="23"/>
      <c r="G18" s="23"/>
      <c r="H18" s="23"/>
      <c r="I18" s="23"/>
      <c r="J18" s="23"/>
      <c r="K18" s="23"/>
      <c r="L18" s="23"/>
      <c r="M18" s="23"/>
      <c r="N18" s="23"/>
      <c r="O18" s="23"/>
      <c r="P18" s="23"/>
      <c r="Q18" s="23"/>
      <c r="R18" s="23"/>
      <c r="S18" s="23"/>
      <c r="T18" s="23"/>
      <c r="U18" s="23"/>
      <c r="V18" s="23"/>
      <c r="W18" s="23"/>
    </row>
    <row r="19" spans="2:24" ht="15">
      <c r="B19" s="44"/>
      <c r="C19" s="44"/>
      <c r="D19" s="44"/>
      <c r="E19" s="44"/>
      <c r="F19" s="44"/>
      <c r="G19" s="44"/>
      <c r="H19" s="44"/>
      <c r="I19" s="44"/>
      <c r="J19" s="44"/>
      <c r="K19" s="44"/>
      <c r="L19" s="44"/>
      <c r="M19" s="44"/>
      <c r="N19" s="23"/>
      <c r="O19" s="23"/>
      <c r="P19" s="23"/>
      <c r="Q19" s="23"/>
      <c r="R19" s="23"/>
      <c r="S19" s="23"/>
      <c r="T19" s="23"/>
      <c r="U19" s="23"/>
      <c r="V19" s="23"/>
      <c r="W19" s="23"/>
    </row>
  </sheetData>
  <mergeCells count="9">
    <mergeCell ref="W3:W4"/>
    <mergeCell ref="B4:B5"/>
    <mergeCell ref="C4:C5"/>
    <mergeCell ref="D4:D5"/>
    <mergeCell ref="E4:E5"/>
    <mergeCell ref="F4:F5"/>
    <mergeCell ref="G4:G5"/>
    <mergeCell ref="H4:H5"/>
    <mergeCell ref="I4:U4"/>
  </mergeCells>
  <hyperlinks>
    <hyperlink ref="K9" r:id="rId1" xr:uid="{00000000-0004-0000-0700-000000000000}"/>
    <hyperlink ref="K15" r:id="rId2" xr:uid="{00000000-0004-0000-0700-000001000000}"/>
  </hyperlinks>
  <pageMargins left="0.75" right="0.75" top="1" bottom="1" header="0.51180555555555496" footer="0.51180555555555496"/>
  <pageSetup paperSize="9" firstPageNumber="0" orientation="portrait"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MJ29"/>
  <sheetViews>
    <sheetView zoomScale="57" zoomScaleNormal="57" workbookViewId="0"/>
  </sheetViews>
  <sheetFormatPr defaultColWidth="5.5703125" defaultRowHeight="15"/>
  <cols>
    <col min="1" max="1" width="5.5703125" style="72"/>
    <col min="2" max="2" width="12.7109375" style="72" customWidth="1"/>
    <col min="3" max="3" width="5.5703125" style="72"/>
    <col min="4" max="4" width="14.5703125" style="72" customWidth="1"/>
    <col min="5" max="5" width="28.28515625" style="72" customWidth="1"/>
    <col min="6" max="6" width="11.85546875" style="72" customWidth="1"/>
    <col min="7" max="7" width="17.28515625" style="72" customWidth="1"/>
    <col min="8" max="8" width="15.5703125" style="72" customWidth="1"/>
    <col min="9" max="9" width="16.7109375" style="72" customWidth="1"/>
    <col min="10" max="10" width="46.7109375" style="72" customWidth="1"/>
    <col min="11" max="11" width="35.42578125" style="72" customWidth="1"/>
    <col min="12" max="12" width="34.5703125" style="72" customWidth="1"/>
    <col min="13" max="13" width="11.7109375" style="72" customWidth="1"/>
    <col min="14" max="14" width="27.42578125" style="72" customWidth="1"/>
    <col min="15" max="15" width="36.7109375" style="72" customWidth="1"/>
    <col min="16" max="16" width="35" style="72" customWidth="1"/>
    <col min="17" max="17" width="21.85546875" style="72" customWidth="1"/>
    <col min="18" max="18" width="36.5703125" style="72" customWidth="1"/>
    <col min="19" max="19" width="12.85546875" style="72" customWidth="1"/>
    <col min="20" max="20" width="15.7109375" style="72" customWidth="1"/>
    <col min="21" max="21" width="10.140625" style="72" customWidth="1"/>
    <col min="22" max="22" width="9.5703125" style="72" customWidth="1"/>
    <col min="23" max="23" width="9.140625" style="72" customWidth="1"/>
    <col min="24" max="1024" width="5.5703125" style="72"/>
  </cols>
  <sheetData>
    <row r="2" spans="2:23">
      <c r="W2" s="3"/>
    </row>
    <row r="3" spans="2:23" ht="14.1" customHeight="1">
      <c r="B3" s="1" t="s">
        <v>321</v>
      </c>
      <c r="C3" s="1" t="s">
        <v>0</v>
      </c>
      <c r="D3" s="1" t="s">
        <v>1</v>
      </c>
      <c r="E3" s="1" t="s">
        <v>2</v>
      </c>
      <c r="F3" s="1" t="s">
        <v>3</v>
      </c>
      <c r="G3" s="1" t="s">
        <v>4</v>
      </c>
      <c r="H3" s="1" t="s">
        <v>5</v>
      </c>
      <c r="I3" s="1" t="s">
        <v>6</v>
      </c>
      <c r="J3" s="1"/>
      <c r="K3" s="1"/>
      <c r="L3" s="1"/>
      <c r="M3" s="1"/>
      <c r="N3" s="1"/>
      <c r="O3" s="1"/>
      <c r="P3" s="1"/>
      <c r="Q3" s="1"/>
      <c r="R3" s="1"/>
      <c r="S3" s="1"/>
      <c r="T3" s="1"/>
      <c r="U3" s="1"/>
      <c r="V3" s="73"/>
      <c r="W3" s="3"/>
    </row>
    <row r="4" spans="2:23" ht="135">
      <c r="B4" s="1"/>
      <c r="C4" s="1"/>
      <c r="D4" s="1"/>
      <c r="E4" s="1"/>
      <c r="F4" s="1"/>
      <c r="G4" s="1"/>
      <c r="H4" s="1"/>
      <c r="I4" s="13" t="s">
        <v>7</v>
      </c>
      <c r="J4" s="13" t="s">
        <v>8</v>
      </c>
      <c r="K4" s="13" t="s">
        <v>9</v>
      </c>
      <c r="L4" s="13" t="s">
        <v>10</v>
      </c>
      <c r="M4" s="13" t="s">
        <v>9</v>
      </c>
      <c r="N4" s="13" t="s">
        <v>11</v>
      </c>
      <c r="O4" s="13" t="s">
        <v>9</v>
      </c>
      <c r="P4" s="13" t="s">
        <v>12</v>
      </c>
      <c r="Q4" s="13" t="s">
        <v>9</v>
      </c>
      <c r="R4" s="13" t="s">
        <v>13</v>
      </c>
      <c r="S4" s="13" t="s">
        <v>9</v>
      </c>
      <c r="T4" s="13" t="s">
        <v>14</v>
      </c>
      <c r="U4" s="13" t="s">
        <v>9</v>
      </c>
      <c r="V4" s="74" t="s">
        <v>15</v>
      </c>
      <c r="W4" s="74" t="s">
        <v>16</v>
      </c>
    </row>
    <row r="5" spans="2:23" ht="333.4" customHeight="1">
      <c r="B5" s="13" t="s">
        <v>1612</v>
      </c>
      <c r="C5" s="13"/>
      <c r="D5" s="13" t="s">
        <v>1613</v>
      </c>
      <c r="E5" s="13" t="s">
        <v>1614</v>
      </c>
      <c r="F5" s="13" t="s">
        <v>1615</v>
      </c>
      <c r="G5" s="13" t="s">
        <v>1616</v>
      </c>
      <c r="H5" s="13" t="s">
        <v>22</v>
      </c>
      <c r="I5" s="13" t="s">
        <v>1617</v>
      </c>
      <c r="J5" s="13" t="s">
        <v>1618</v>
      </c>
      <c r="K5" s="13" t="s">
        <v>1619</v>
      </c>
      <c r="L5" s="13" t="s">
        <v>1620</v>
      </c>
      <c r="M5" s="13" t="s">
        <v>1621</v>
      </c>
      <c r="N5" s="13" t="s">
        <v>1622</v>
      </c>
      <c r="O5" s="13" t="s">
        <v>1623</v>
      </c>
      <c r="P5" s="13" t="s">
        <v>1624</v>
      </c>
      <c r="Q5" s="13" t="s">
        <v>1623</v>
      </c>
      <c r="R5" s="13" t="s">
        <v>1625</v>
      </c>
      <c r="S5" s="13" t="s">
        <v>1626</v>
      </c>
      <c r="T5" s="13" t="s">
        <v>1627</v>
      </c>
      <c r="U5" s="7" t="s">
        <v>1628</v>
      </c>
      <c r="V5" s="13">
        <v>60</v>
      </c>
      <c r="W5" s="13">
        <v>15</v>
      </c>
    </row>
    <row r="6" spans="2:23" ht="300">
      <c r="B6" s="13" t="s">
        <v>1629</v>
      </c>
      <c r="C6" s="13"/>
      <c r="D6" s="13" t="s">
        <v>1613</v>
      </c>
      <c r="E6" s="13" t="s">
        <v>1630</v>
      </c>
      <c r="F6" s="13" t="s">
        <v>1615</v>
      </c>
      <c r="G6" s="13" t="s">
        <v>1631</v>
      </c>
      <c r="H6" s="13" t="s">
        <v>22</v>
      </c>
      <c r="I6" s="13" t="s">
        <v>1632</v>
      </c>
      <c r="J6" s="13" t="s">
        <v>1633</v>
      </c>
      <c r="K6" s="13" t="s">
        <v>1634</v>
      </c>
      <c r="L6" s="13" t="s">
        <v>1635</v>
      </c>
      <c r="M6" s="13" t="s">
        <v>1636</v>
      </c>
      <c r="N6" s="13" t="s">
        <v>1637</v>
      </c>
      <c r="O6" s="13" t="s">
        <v>1634</v>
      </c>
      <c r="P6" s="13" t="s">
        <v>1638</v>
      </c>
      <c r="Q6" s="13" t="s">
        <v>1636</v>
      </c>
      <c r="R6" s="13" t="s">
        <v>1639</v>
      </c>
      <c r="S6" s="13" t="s">
        <v>1640</v>
      </c>
      <c r="T6" s="13" t="s">
        <v>1627</v>
      </c>
      <c r="U6" s="7" t="s">
        <v>1628</v>
      </c>
      <c r="V6" s="13">
        <v>60</v>
      </c>
      <c r="W6" s="13">
        <v>20</v>
      </c>
    </row>
    <row r="7" spans="2:23" ht="170.85" customHeight="1">
      <c r="B7" s="13" t="s">
        <v>1641</v>
      </c>
      <c r="C7" s="13"/>
      <c r="D7" s="13" t="s">
        <v>1613</v>
      </c>
      <c r="E7" s="13" t="s">
        <v>1642</v>
      </c>
      <c r="F7" s="13" t="s">
        <v>1615</v>
      </c>
      <c r="G7" s="13" t="s">
        <v>1631</v>
      </c>
      <c r="H7" s="13" t="s">
        <v>22</v>
      </c>
      <c r="I7" s="13" t="s">
        <v>1631</v>
      </c>
      <c r="J7" s="13" t="s">
        <v>1643</v>
      </c>
      <c r="K7" s="13" t="s">
        <v>1634</v>
      </c>
      <c r="L7" s="13" t="s">
        <v>1644</v>
      </c>
      <c r="M7" s="13" t="s">
        <v>1645</v>
      </c>
      <c r="N7" s="13" t="s">
        <v>1646</v>
      </c>
      <c r="O7" s="13" t="s">
        <v>1647</v>
      </c>
      <c r="P7" s="13" t="s">
        <v>1648</v>
      </c>
      <c r="Q7" s="13" t="s">
        <v>1649</v>
      </c>
      <c r="R7" s="13"/>
      <c r="S7" s="13"/>
      <c r="T7" s="13" t="s">
        <v>1627</v>
      </c>
      <c r="U7" s="7" t="s">
        <v>1628</v>
      </c>
      <c r="V7" s="13">
        <v>35</v>
      </c>
      <c r="W7" s="13">
        <v>10</v>
      </c>
    </row>
    <row r="8" spans="2:23" ht="131.65" customHeight="1">
      <c r="B8" s="13" t="s">
        <v>1650</v>
      </c>
      <c r="C8" s="13"/>
      <c r="D8" s="13" t="s">
        <v>1613</v>
      </c>
      <c r="E8" s="13" t="s">
        <v>1651</v>
      </c>
      <c r="F8" s="13" t="s">
        <v>1615</v>
      </c>
      <c r="G8" s="13" t="s">
        <v>1652</v>
      </c>
      <c r="H8" s="13" t="s">
        <v>22</v>
      </c>
      <c r="I8" s="13" t="s">
        <v>1652</v>
      </c>
      <c r="J8" s="13" t="s">
        <v>1653</v>
      </c>
      <c r="K8" s="13" t="s">
        <v>1527</v>
      </c>
      <c r="L8" s="75" t="s">
        <v>1654</v>
      </c>
      <c r="M8" s="13" t="s">
        <v>1527</v>
      </c>
      <c r="N8" s="13" t="s">
        <v>1655</v>
      </c>
      <c r="O8" s="13" t="s">
        <v>1527</v>
      </c>
      <c r="P8" s="13" t="s">
        <v>1656</v>
      </c>
      <c r="Q8" s="13" t="s">
        <v>1527</v>
      </c>
      <c r="R8" s="30" t="s">
        <v>1657</v>
      </c>
      <c r="S8" s="13" t="s">
        <v>1527</v>
      </c>
      <c r="T8" s="13"/>
      <c r="U8" s="13"/>
      <c r="V8" s="13">
        <v>25</v>
      </c>
      <c r="W8" s="13">
        <v>5</v>
      </c>
    </row>
    <row r="9" spans="2:23" ht="375">
      <c r="B9" s="13" t="s">
        <v>1658</v>
      </c>
      <c r="C9" s="13"/>
      <c r="D9" s="13" t="s">
        <v>1613</v>
      </c>
      <c r="E9" s="13" t="s">
        <v>1659</v>
      </c>
      <c r="F9" s="13" t="s">
        <v>1660</v>
      </c>
      <c r="G9" s="13" t="s">
        <v>1661</v>
      </c>
      <c r="H9" s="13" t="s">
        <v>22</v>
      </c>
      <c r="I9" s="13" t="s">
        <v>1661</v>
      </c>
      <c r="J9" s="13" t="s">
        <v>1662</v>
      </c>
      <c r="K9" s="13" t="s">
        <v>1527</v>
      </c>
      <c r="L9" s="13" t="s">
        <v>1663</v>
      </c>
      <c r="M9" s="13" t="s">
        <v>1527</v>
      </c>
      <c r="N9" s="13" t="s">
        <v>1664</v>
      </c>
      <c r="O9" s="13" t="s">
        <v>1527</v>
      </c>
      <c r="P9" s="13" t="s">
        <v>1665</v>
      </c>
      <c r="Q9" s="13" t="s">
        <v>1527</v>
      </c>
      <c r="R9" s="59" t="s">
        <v>1666</v>
      </c>
      <c r="S9" s="13" t="s">
        <v>1527</v>
      </c>
      <c r="T9" s="13"/>
      <c r="U9" s="13"/>
      <c r="V9" s="13">
        <v>20</v>
      </c>
      <c r="W9" s="13">
        <v>5</v>
      </c>
    </row>
    <row r="10" spans="2:23" ht="165">
      <c r="B10" s="13" t="s">
        <v>1667</v>
      </c>
      <c r="C10" s="13"/>
      <c r="D10" s="13" t="s">
        <v>1613</v>
      </c>
      <c r="E10" s="13" t="s">
        <v>1668</v>
      </c>
      <c r="F10" s="13" t="s">
        <v>913</v>
      </c>
      <c r="G10" s="13" t="s">
        <v>1669</v>
      </c>
      <c r="H10" s="13" t="s">
        <v>22</v>
      </c>
      <c r="I10" s="13" t="s">
        <v>1669</v>
      </c>
      <c r="J10" s="13" t="s">
        <v>1670</v>
      </c>
      <c r="K10" s="13" t="s">
        <v>1671</v>
      </c>
      <c r="L10" s="13" t="s">
        <v>1672</v>
      </c>
      <c r="M10" s="13" t="s">
        <v>1671</v>
      </c>
      <c r="N10" s="13" t="s">
        <v>1673</v>
      </c>
      <c r="O10" s="13" t="s">
        <v>1671</v>
      </c>
      <c r="P10" s="76" t="s">
        <v>1674</v>
      </c>
      <c r="Q10" s="13" t="s">
        <v>1675</v>
      </c>
      <c r="R10" s="30" t="s">
        <v>1676</v>
      </c>
      <c r="S10" s="13" t="s">
        <v>1675</v>
      </c>
      <c r="T10" s="13"/>
      <c r="U10" s="13"/>
      <c r="V10" s="13">
        <v>30</v>
      </c>
      <c r="W10" s="13">
        <v>5</v>
      </c>
    </row>
    <row r="11" spans="2:23" ht="77.099999999999994" customHeight="1">
      <c r="B11" s="13" t="s">
        <v>1677</v>
      </c>
      <c r="C11" s="13"/>
      <c r="D11" s="13" t="s">
        <v>1613</v>
      </c>
      <c r="E11" s="13" t="s">
        <v>1678</v>
      </c>
      <c r="F11" s="13" t="s">
        <v>913</v>
      </c>
      <c r="G11" s="13" t="s">
        <v>1679</v>
      </c>
      <c r="H11" s="13" t="s">
        <v>22</v>
      </c>
      <c r="I11" s="13" t="s">
        <v>1669</v>
      </c>
      <c r="J11" s="13" t="s">
        <v>1680</v>
      </c>
      <c r="K11" s="13" t="s">
        <v>1681</v>
      </c>
      <c r="L11" s="13" t="s">
        <v>1682</v>
      </c>
      <c r="M11" s="13" t="s">
        <v>1681</v>
      </c>
      <c r="N11" s="13" t="s">
        <v>1683</v>
      </c>
      <c r="O11" s="13" t="s">
        <v>1684</v>
      </c>
      <c r="P11" s="13" t="s">
        <v>1685</v>
      </c>
      <c r="Q11" s="13" t="s">
        <v>1681</v>
      </c>
      <c r="R11" s="5" t="s">
        <v>1686</v>
      </c>
      <c r="S11" s="13" t="s">
        <v>1687</v>
      </c>
      <c r="T11" s="13"/>
      <c r="U11" s="13"/>
      <c r="V11" s="13">
        <v>30</v>
      </c>
      <c r="W11" s="13">
        <v>15</v>
      </c>
    </row>
    <row r="12" spans="2:23" ht="138">
      <c r="B12" s="13" t="s">
        <v>1688</v>
      </c>
      <c r="C12" s="13"/>
      <c r="D12" s="13" t="s">
        <v>1613</v>
      </c>
      <c r="E12" s="13" t="s">
        <v>1689</v>
      </c>
      <c r="F12" s="13" t="s">
        <v>1690</v>
      </c>
      <c r="G12" s="13" t="s">
        <v>1691</v>
      </c>
      <c r="H12" s="13" t="s">
        <v>22</v>
      </c>
      <c r="I12" s="13" t="s">
        <v>1691</v>
      </c>
      <c r="J12" s="13" t="s">
        <v>1692</v>
      </c>
      <c r="K12" s="13" t="s">
        <v>1693</v>
      </c>
      <c r="L12" s="13" t="s">
        <v>1694</v>
      </c>
      <c r="M12" s="13" t="s">
        <v>1695</v>
      </c>
      <c r="N12" s="13" t="s">
        <v>1696</v>
      </c>
      <c r="O12" s="13" t="s">
        <v>1695</v>
      </c>
      <c r="P12" s="13" t="s">
        <v>1697</v>
      </c>
      <c r="Q12" s="13" t="s">
        <v>1695</v>
      </c>
      <c r="R12" s="5" t="s">
        <v>1698</v>
      </c>
      <c r="S12" s="13" t="s">
        <v>1699</v>
      </c>
      <c r="T12" s="13"/>
      <c r="U12" s="13"/>
      <c r="V12" s="13">
        <v>30</v>
      </c>
      <c r="W12" s="13">
        <v>10</v>
      </c>
    </row>
    <row r="13" spans="2:23" ht="120">
      <c r="B13" s="13" t="s">
        <v>1700</v>
      </c>
      <c r="C13" s="13"/>
      <c r="D13" s="13" t="s">
        <v>1613</v>
      </c>
      <c r="E13" s="13" t="s">
        <v>1701</v>
      </c>
      <c r="F13" s="13" t="s">
        <v>1690</v>
      </c>
      <c r="G13" s="13" t="s">
        <v>1702</v>
      </c>
      <c r="H13" s="13" t="s">
        <v>22</v>
      </c>
      <c r="I13" s="13" t="s">
        <v>1702</v>
      </c>
      <c r="J13" s="13" t="s">
        <v>1703</v>
      </c>
      <c r="K13" s="13" t="s">
        <v>1704</v>
      </c>
      <c r="L13" s="13" t="s">
        <v>1705</v>
      </c>
      <c r="M13" s="13" t="s">
        <v>1704</v>
      </c>
      <c r="N13" s="13" t="s">
        <v>1706</v>
      </c>
      <c r="O13" s="13" t="s">
        <v>1707</v>
      </c>
      <c r="P13" s="13" t="s">
        <v>1708</v>
      </c>
      <c r="Q13" s="13" t="s">
        <v>1707</v>
      </c>
      <c r="R13" s="13" t="s">
        <v>1709</v>
      </c>
      <c r="S13" s="13" t="s">
        <v>1704</v>
      </c>
      <c r="T13" s="13"/>
      <c r="U13" s="13"/>
      <c r="V13" s="13">
        <v>30</v>
      </c>
      <c r="W13" s="13">
        <v>5</v>
      </c>
    </row>
    <row r="14" spans="2:23" ht="158.44999999999999" customHeight="1">
      <c r="B14" s="13" t="s">
        <v>1710</v>
      </c>
      <c r="C14" s="13"/>
      <c r="D14" s="13" t="s">
        <v>1613</v>
      </c>
      <c r="E14" s="13" t="s">
        <v>1711</v>
      </c>
      <c r="F14" s="13" t="s">
        <v>1712</v>
      </c>
      <c r="G14" s="13" t="s">
        <v>1713</v>
      </c>
      <c r="H14" s="13" t="s">
        <v>22</v>
      </c>
      <c r="I14" s="13" t="s">
        <v>1713</v>
      </c>
      <c r="J14" s="13" t="s">
        <v>1714</v>
      </c>
      <c r="K14" s="13" t="s">
        <v>1715</v>
      </c>
      <c r="L14" s="13" t="s">
        <v>1716</v>
      </c>
      <c r="M14" s="13" t="s">
        <v>1715</v>
      </c>
      <c r="N14" s="13" t="s">
        <v>1717</v>
      </c>
      <c r="O14" s="13" t="s">
        <v>1718</v>
      </c>
      <c r="P14" s="30" t="s">
        <v>1719</v>
      </c>
      <c r="Q14" s="13" t="s">
        <v>1718</v>
      </c>
      <c r="R14" s="13" t="s">
        <v>1720</v>
      </c>
      <c r="S14" s="13" t="s">
        <v>1718</v>
      </c>
      <c r="T14" s="13" t="s">
        <v>1721</v>
      </c>
      <c r="U14" s="7" t="s">
        <v>1722</v>
      </c>
      <c r="V14" s="13">
        <v>35</v>
      </c>
      <c r="W14" s="13">
        <v>10</v>
      </c>
    </row>
    <row r="15" spans="2:23" ht="300">
      <c r="B15" s="13" t="s">
        <v>1723</v>
      </c>
      <c r="C15" s="13"/>
      <c r="D15" s="13" t="s">
        <v>1613</v>
      </c>
      <c r="E15" s="13" t="s">
        <v>1724</v>
      </c>
      <c r="F15" s="13" t="s">
        <v>1712</v>
      </c>
      <c r="G15" s="13" t="s">
        <v>1713</v>
      </c>
      <c r="H15" s="13" t="s">
        <v>22</v>
      </c>
      <c r="I15" s="13" t="s">
        <v>1713</v>
      </c>
      <c r="J15" s="13" t="s">
        <v>1725</v>
      </c>
      <c r="K15" s="13" t="s">
        <v>1726</v>
      </c>
      <c r="L15" s="13" t="s">
        <v>1727</v>
      </c>
      <c r="M15" s="13" t="s">
        <v>1726</v>
      </c>
      <c r="N15" s="13" t="s">
        <v>1728</v>
      </c>
      <c r="O15" s="13" t="s">
        <v>1729</v>
      </c>
      <c r="P15" s="30" t="s">
        <v>1730</v>
      </c>
      <c r="Q15" s="13" t="s">
        <v>1729</v>
      </c>
      <c r="R15" s="13" t="s">
        <v>1731</v>
      </c>
      <c r="S15" s="13" t="s">
        <v>1732</v>
      </c>
      <c r="T15" s="13" t="s">
        <v>1721</v>
      </c>
      <c r="U15" s="7" t="s">
        <v>1722</v>
      </c>
      <c r="V15" s="13">
        <v>35</v>
      </c>
      <c r="W15" s="13">
        <v>10</v>
      </c>
    </row>
    <row r="16" spans="2:23" ht="255">
      <c r="B16" s="13" t="s">
        <v>1733</v>
      </c>
      <c r="C16" s="13"/>
      <c r="D16" s="13" t="s">
        <v>1613</v>
      </c>
      <c r="E16" s="13" t="s">
        <v>1734</v>
      </c>
      <c r="F16" s="13" t="s">
        <v>1712</v>
      </c>
      <c r="G16" s="13" t="s">
        <v>1735</v>
      </c>
      <c r="H16" s="13" t="s">
        <v>22</v>
      </c>
      <c r="I16" s="13" t="s">
        <v>1735</v>
      </c>
      <c r="J16" s="13" t="s">
        <v>1736</v>
      </c>
      <c r="K16" s="13" t="s">
        <v>1737</v>
      </c>
      <c r="L16" s="13" t="s">
        <v>1738</v>
      </c>
      <c r="M16" s="13" t="s">
        <v>1739</v>
      </c>
      <c r="N16" s="13" t="s">
        <v>1740</v>
      </c>
      <c r="O16" s="13" t="s">
        <v>1741</v>
      </c>
      <c r="P16" s="13" t="s">
        <v>1742</v>
      </c>
      <c r="Q16" s="13" t="s">
        <v>1743</v>
      </c>
      <c r="R16" s="13" t="s">
        <v>1744</v>
      </c>
      <c r="S16" s="13" t="s">
        <v>1743</v>
      </c>
      <c r="T16" s="13" t="s">
        <v>1721</v>
      </c>
      <c r="U16" s="7" t="s">
        <v>1722</v>
      </c>
      <c r="V16" s="13">
        <v>30</v>
      </c>
      <c r="W16" s="13">
        <v>5</v>
      </c>
    </row>
    <row r="17" spans="2:23" ht="315">
      <c r="B17" s="13" t="s">
        <v>1745</v>
      </c>
      <c r="C17" s="13"/>
      <c r="D17" s="13" t="s">
        <v>1613</v>
      </c>
      <c r="E17" s="13" t="s">
        <v>1746</v>
      </c>
      <c r="F17" s="13" t="s">
        <v>283</v>
      </c>
      <c r="G17" s="13" t="s">
        <v>1604</v>
      </c>
      <c r="H17" s="13" t="s">
        <v>22</v>
      </c>
      <c r="I17" s="13" t="s">
        <v>1747</v>
      </c>
      <c r="J17" s="13" t="s">
        <v>1748</v>
      </c>
      <c r="K17" s="13" t="s">
        <v>1749</v>
      </c>
      <c r="L17" s="13" t="s">
        <v>1750</v>
      </c>
      <c r="M17" s="13" t="s">
        <v>1749</v>
      </c>
      <c r="N17" s="13" t="s">
        <v>1751</v>
      </c>
      <c r="O17" s="13" t="s">
        <v>1752</v>
      </c>
      <c r="P17" s="13" t="s">
        <v>1753</v>
      </c>
      <c r="Q17" s="13" t="s">
        <v>1754</v>
      </c>
      <c r="R17" s="13" t="s">
        <v>1755</v>
      </c>
      <c r="S17" s="13" t="s">
        <v>1754</v>
      </c>
      <c r="T17" s="13" t="s">
        <v>1756</v>
      </c>
      <c r="U17" s="7" t="s">
        <v>1757</v>
      </c>
      <c r="V17" s="13">
        <v>35</v>
      </c>
      <c r="W17" s="13">
        <v>20</v>
      </c>
    </row>
    <row r="18" spans="2:23" ht="242.25">
      <c r="B18" s="13" t="s">
        <v>1758</v>
      </c>
      <c r="C18" s="13"/>
      <c r="D18" s="13" t="s">
        <v>1613</v>
      </c>
      <c r="E18" s="13" t="s">
        <v>1759</v>
      </c>
      <c r="F18" s="13" t="s">
        <v>283</v>
      </c>
      <c r="G18" s="13" t="s">
        <v>1604</v>
      </c>
      <c r="H18" s="13" t="s">
        <v>22</v>
      </c>
      <c r="I18" s="13" t="s">
        <v>1604</v>
      </c>
      <c r="J18" s="13" t="s">
        <v>1760</v>
      </c>
      <c r="K18" s="13" t="s">
        <v>1749</v>
      </c>
      <c r="L18" s="13" t="s">
        <v>1761</v>
      </c>
      <c r="M18" s="13" t="s">
        <v>1762</v>
      </c>
      <c r="N18" s="13" t="s">
        <v>1763</v>
      </c>
      <c r="O18" s="13" t="s">
        <v>1752</v>
      </c>
      <c r="P18" s="13" t="s">
        <v>1753</v>
      </c>
      <c r="Q18" s="13" t="s">
        <v>1754</v>
      </c>
      <c r="R18" s="13" t="s">
        <v>1764</v>
      </c>
      <c r="S18" s="13" t="s">
        <v>1754</v>
      </c>
      <c r="T18" s="13" t="s">
        <v>1765</v>
      </c>
      <c r="U18" s="7" t="s">
        <v>1766</v>
      </c>
      <c r="V18" s="13">
        <v>10</v>
      </c>
      <c r="W18" s="13">
        <v>30</v>
      </c>
    </row>
    <row r="19" spans="2:23" ht="285">
      <c r="B19" s="13" t="s">
        <v>1767</v>
      </c>
      <c r="C19" s="73"/>
      <c r="D19" s="13" t="s">
        <v>1613</v>
      </c>
      <c r="E19" s="13" t="s">
        <v>1746</v>
      </c>
      <c r="F19" s="13" t="s">
        <v>283</v>
      </c>
      <c r="G19" s="13" t="s">
        <v>1604</v>
      </c>
      <c r="H19" s="13" t="s">
        <v>22</v>
      </c>
      <c r="I19" s="13" t="s">
        <v>1604</v>
      </c>
      <c r="J19" s="13" t="s">
        <v>1768</v>
      </c>
      <c r="K19" s="13" t="s">
        <v>1749</v>
      </c>
      <c r="L19" s="13" t="s">
        <v>1769</v>
      </c>
      <c r="M19" s="13" t="s">
        <v>1749</v>
      </c>
      <c r="N19" s="13" t="s">
        <v>1770</v>
      </c>
      <c r="O19" s="13" t="s">
        <v>1752</v>
      </c>
      <c r="P19" s="13" t="s">
        <v>1771</v>
      </c>
      <c r="Q19" s="13" t="s">
        <v>1754</v>
      </c>
      <c r="R19" s="13" t="s">
        <v>1772</v>
      </c>
      <c r="S19" s="13" t="s">
        <v>1754</v>
      </c>
      <c r="T19" s="13" t="s">
        <v>1773</v>
      </c>
      <c r="U19" s="7" t="s">
        <v>1774</v>
      </c>
      <c r="V19" s="13">
        <v>10</v>
      </c>
      <c r="W19" s="73">
        <v>20</v>
      </c>
    </row>
    <row r="20" spans="2:23" ht="315">
      <c r="B20" s="13" t="s">
        <v>1775</v>
      </c>
      <c r="C20" s="73"/>
      <c r="D20" s="13" t="s">
        <v>1613</v>
      </c>
      <c r="E20" s="13" t="s">
        <v>1746</v>
      </c>
      <c r="F20" s="13" t="s">
        <v>283</v>
      </c>
      <c r="G20" s="13" t="s">
        <v>1604</v>
      </c>
      <c r="H20" s="13" t="s">
        <v>22</v>
      </c>
      <c r="I20" s="13" t="s">
        <v>1604</v>
      </c>
      <c r="J20" s="13" t="s">
        <v>1776</v>
      </c>
      <c r="K20" s="13" t="s">
        <v>1749</v>
      </c>
      <c r="L20" s="13" t="s">
        <v>1777</v>
      </c>
      <c r="M20" s="13" t="s">
        <v>1749</v>
      </c>
      <c r="N20" s="13" t="s">
        <v>1778</v>
      </c>
      <c r="O20" s="13" t="s">
        <v>1752</v>
      </c>
      <c r="P20" s="13" t="s">
        <v>1753</v>
      </c>
      <c r="Q20" s="13" t="s">
        <v>1754</v>
      </c>
      <c r="R20" s="30" t="s">
        <v>1779</v>
      </c>
      <c r="S20" s="13" t="s">
        <v>1754</v>
      </c>
      <c r="T20" s="13" t="s">
        <v>1756</v>
      </c>
      <c r="U20" s="7" t="s">
        <v>1757</v>
      </c>
      <c r="V20" s="13">
        <v>10</v>
      </c>
      <c r="W20" s="73">
        <v>10</v>
      </c>
    </row>
    <row r="21" spans="2:23" ht="285">
      <c r="B21" s="13" t="s">
        <v>1780</v>
      </c>
      <c r="C21" s="13"/>
      <c r="D21" s="13" t="s">
        <v>1613</v>
      </c>
      <c r="E21" s="13" t="s">
        <v>1781</v>
      </c>
      <c r="F21" s="13" t="s">
        <v>283</v>
      </c>
      <c r="G21" s="13" t="s">
        <v>1604</v>
      </c>
      <c r="H21" s="13" t="s">
        <v>22</v>
      </c>
      <c r="I21" s="13" t="s">
        <v>1604</v>
      </c>
      <c r="J21" s="13" t="s">
        <v>1782</v>
      </c>
      <c r="K21" s="13" t="s">
        <v>1783</v>
      </c>
      <c r="L21" s="13" t="s">
        <v>1784</v>
      </c>
      <c r="M21" s="13" t="s">
        <v>1785</v>
      </c>
      <c r="N21" s="13" t="s">
        <v>1786</v>
      </c>
      <c r="O21" s="13" t="s">
        <v>1752</v>
      </c>
      <c r="P21" s="13" t="s">
        <v>1753</v>
      </c>
      <c r="Q21" s="13" t="s">
        <v>1754</v>
      </c>
      <c r="R21" s="13" t="s">
        <v>1787</v>
      </c>
      <c r="S21" s="13" t="s">
        <v>1754</v>
      </c>
      <c r="T21" s="13" t="s">
        <v>1765</v>
      </c>
      <c r="U21" s="7" t="s">
        <v>1766</v>
      </c>
      <c r="V21" s="13">
        <v>15</v>
      </c>
      <c r="W21" s="13">
        <v>5</v>
      </c>
    </row>
    <row r="22" spans="2:23" ht="360">
      <c r="B22" s="13" t="s">
        <v>1788</v>
      </c>
      <c r="C22" s="13"/>
      <c r="D22" s="13" t="s">
        <v>1613</v>
      </c>
      <c r="E22" s="13" t="s">
        <v>1746</v>
      </c>
      <c r="F22" s="13" t="s">
        <v>283</v>
      </c>
      <c r="G22" s="13" t="s">
        <v>1604</v>
      </c>
      <c r="H22" s="13" t="s">
        <v>22</v>
      </c>
      <c r="I22" s="13" t="s">
        <v>1604</v>
      </c>
      <c r="J22" s="13" t="s">
        <v>1789</v>
      </c>
      <c r="K22" s="13" t="s">
        <v>1749</v>
      </c>
      <c r="L22" s="13" t="s">
        <v>1790</v>
      </c>
      <c r="M22" s="13" t="s">
        <v>1749</v>
      </c>
      <c r="N22" s="13" t="s">
        <v>1791</v>
      </c>
      <c r="O22" s="13" t="s">
        <v>1752</v>
      </c>
      <c r="P22" s="13" t="s">
        <v>1753</v>
      </c>
      <c r="Q22" s="13" t="s">
        <v>1754</v>
      </c>
      <c r="R22" s="13" t="s">
        <v>1792</v>
      </c>
      <c r="S22" s="13" t="s">
        <v>1754</v>
      </c>
      <c r="T22" s="13" t="s">
        <v>1756</v>
      </c>
      <c r="U22" s="7" t="s">
        <v>1757</v>
      </c>
      <c r="V22" s="13">
        <v>15</v>
      </c>
      <c r="W22" s="13">
        <v>10</v>
      </c>
    </row>
    <row r="23" spans="2:23" ht="285">
      <c r="B23" s="13" t="s">
        <v>1793</v>
      </c>
      <c r="C23" s="13"/>
      <c r="D23" s="13" t="s">
        <v>1613</v>
      </c>
      <c r="E23" s="13" t="s">
        <v>1794</v>
      </c>
      <c r="F23" s="13" t="s">
        <v>283</v>
      </c>
      <c r="G23" s="13" t="s">
        <v>1604</v>
      </c>
      <c r="H23" s="13" t="s">
        <v>22</v>
      </c>
      <c r="I23" s="13" t="s">
        <v>1604</v>
      </c>
      <c r="J23" s="13" t="s">
        <v>1795</v>
      </c>
      <c r="K23" s="13" t="s">
        <v>1796</v>
      </c>
      <c r="L23" s="13" t="s">
        <v>1797</v>
      </c>
      <c r="M23" s="13" t="s">
        <v>1798</v>
      </c>
      <c r="N23" s="13" t="s">
        <v>1799</v>
      </c>
      <c r="O23" s="13" t="s">
        <v>1798</v>
      </c>
      <c r="P23" s="13" t="s">
        <v>1800</v>
      </c>
      <c r="Q23" s="13" t="s">
        <v>1801</v>
      </c>
      <c r="R23" s="13" t="s">
        <v>1802</v>
      </c>
      <c r="S23" s="13" t="s">
        <v>1801</v>
      </c>
      <c r="T23" s="13" t="s">
        <v>1773</v>
      </c>
      <c r="U23" s="7" t="s">
        <v>1774</v>
      </c>
      <c r="V23" s="13">
        <v>15</v>
      </c>
      <c r="W23" s="13"/>
    </row>
    <row r="24" spans="2:23" ht="300">
      <c r="B24" s="13" t="s">
        <v>1803</v>
      </c>
      <c r="C24" s="13"/>
      <c r="D24" s="13" t="s">
        <v>1613</v>
      </c>
      <c r="E24" s="13" t="s">
        <v>1804</v>
      </c>
      <c r="F24" s="13" t="s">
        <v>283</v>
      </c>
      <c r="G24" s="13" t="s">
        <v>1805</v>
      </c>
      <c r="H24" s="13" t="s">
        <v>22</v>
      </c>
      <c r="I24" s="13" t="s">
        <v>1805</v>
      </c>
      <c r="J24" s="13" t="s">
        <v>1806</v>
      </c>
      <c r="K24" s="13" t="s">
        <v>1754</v>
      </c>
      <c r="L24" s="13" t="s">
        <v>1807</v>
      </c>
      <c r="M24" s="13" t="s">
        <v>1808</v>
      </c>
      <c r="N24" s="13" t="s">
        <v>1809</v>
      </c>
      <c r="O24" s="13" t="s">
        <v>1810</v>
      </c>
      <c r="P24" s="13" t="s">
        <v>1811</v>
      </c>
      <c r="Q24" s="13" t="s">
        <v>1810</v>
      </c>
      <c r="R24" s="30" t="s">
        <v>1812</v>
      </c>
      <c r="S24" s="13" t="s">
        <v>1754</v>
      </c>
      <c r="T24" s="13" t="s">
        <v>1756</v>
      </c>
      <c r="U24" s="7" t="s">
        <v>1757</v>
      </c>
      <c r="V24" s="13">
        <v>20</v>
      </c>
      <c r="W24" s="13">
        <v>5</v>
      </c>
    </row>
    <row r="25" spans="2:23" ht="409.5">
      <c r="B25" s="13" t="s">
        <v>1813</v>
      </c>
      <c r="C25" s="13"/>
      <c r="D25" s="13" t="s">
        <v>1613</v>
      </c>
      <c r="E25" s="13" t="s">
        <v>1814</v>
      </c>
      <c r="F25" s="13" t="s">
        <v>283</v>
      </c>
      <c r="G25" s="13" t="s">
        <v>1815</v>
      </c>
      <c r="H25" s="13" t="s">
        <v>22</v>
      </c>
      <c r="I25" s="13" t="s">
        <v>1815</v>
      </c>
      <c r="J25" s="13" t="s">
        <v>1816</v>
      </c>
      <c r="K25" s="13" t="s">
        <v>1817</v>
      </c>
      <c r="L25" s="13" t="s">
        <v>1818</v>
      </c>
      <c r="M25" s="13" t="s">
        <v>1817</v>
      </c>
      <c r="N25" s="13" t="s">
        <v>1819</v>
      </c>
      <c r="O25" s="13" t="s">
        <v>1820</v>
      </c>
      <c r="P25" s="13" t="s">
        <v>379</v>
      </c>
      <c r="Q25" s="13" t="s">
        <v>1820</v>
      </c>
      <c r="R25" s="13" t="s">
        <v>1821</v>
      </c>
      <c r="S25" s="13" t="s">
        <v>1820</v>
      </c>
      <c r="T25" s="13" t="s">
        <v>1773</v>
      </c>
      <c r="U25" s="7" t="s">
        <v>1774</v>
      </c>
      <c r="V25" s="13">
        <v>20</v>
      </c>
      <c r="W25" s="13">
        <v>20</v>
      </c>
    </row>
    <row r="26" spans="2:23" ht="255">
      <c r="B26" s="13" t="s">
        <v>1822</v>
      </c>
      <c r="C26" s="13"/>
      <c r="D26" s="13" t="s">
        <v>1613</v>
      </c>
      <c r="E26" s="13" t="s">
        <v>1823</v>
      </c>
      <c r="F26" s="13" t="s">
        <v>1824</v>
      </c>
      <c r="G26" s="13" t="s">
        <v>1825</v>
      </c>
      <c r="H26" s="13" t="s">
        <v>22</v>
      </c>
      <c r="I26" s="13" t="s">
        <v>1825</v>
      </c>
      <c r="J26" s="13" t="s">
        <v>1826</v>
      </c>
      <c r="K26" s="13" t="s">
        <v>1827</v>
      </c>
      <c r="L26" s="13" t="s">
        <v>1828</v>
      </c>
      <c r="M26" s="13" t="s">
        <v>1829</v>
      </c>
      <c r="N26" s="13" t="s">
        <v>1830</v>
      </c>
      <c r="O26" s="13" t="s">
        <v>1829</v>
      </c>
      <c r="P26" s="13" t="s">
        <v>1831</v>
      </c>
      <c r="Q26" s="13" t="s">
        <v>1829</v>
      </c>
      <c r="R26" s="13" t="s">
        <v>1832</v>
      </c>
      <c r="S26" s="13" t="s">
        <v>1829</v>
      </c>
      <c r="T26" s="13"/>
      <c r="U26" s="13"/>
      <c r="V26" s="13">
        <v>20</v>
      </c>
      <c r="W26" s="13">
        <v>5</v>
      </c>
    </row>
    <row r="27" spans="2:23" ht="208.5" customHeight="1">
      <c r="B27" s="13" t="s">
        <v>1833</v>
      </c>
      <c r="C27" s="13"/>
      <c r="D27" s="13" t="s">
        <v>1613</v>
      </c>
      <c r="E27" s="13" t="s">
        <v>1834</v>
      </c>
      <c r="F27" s="13" t="s">
        <v>778</v>
      </c>
      <c r="G27" s="13" t="s">
        <v>1835</v>
      </c>
      <c r="H27" s="13" t="s">
        <v>22</v>
      </c>
      <c r="I27" s="13" t="s">
        <v>1835</v>
      </c>
      <c r="J27" s="13" t="s">
        <v>1836</v>
      </c>
      <c r="K27" s="13" t="s">
        <v>1749</v>
      </c>
      <c r="L27" s="13" t="s">
        <v>1807</v>
      </c>
      <c r="M27" s="13" t="s">
        <v>1749</v>
      </c>
      <c r="N27" s="13" t="s">
        <v>1837</v>
      </c>
      <c r="O27" s="13" t="s">
        <v>1752</v>
      </c>
      <c r="P27" s="13" t="s">
        <v>1838</v>
      </c>
      <c r="Q27" s="13" t="s">
        <v>1754</v>
      </c>
      <c r="R27" s="13" t="s">
        <v>1839</v>
      </c>
      <c r="S27" s="13" t="s">
        <v>1754</v>
      </c>
      <c r="T27" s="13" t="s">
        <v>1765</v>
      </c>
      <c r="U27" s="7" t="s">
        <v>1766</v>
      </c>
      <c r="V27" s="13">
        <v>15</v>
      </c>
      <c r="W27" s="13">
        <v>20</v>
      </c>
    </row>
    <row r="28" spans="2:23" ht="150">
      <c r="B28" s="13" t="s">
        <v>1840</v>
      </c>
      <c r="C28" s="13"/>
      <c r="D28" s="13" t="s">
        <v>1613</v>
      </c>
      <c r="E28" s="13" t="s">
        <v>1841</v>
      </c>
      <c r="F28" s="13" t="s">
        <v>778</v>
      </c>
      <c r="G28" s="13" t="s">
        <v>1842</v>
      </c>
      <c r="H28" s="13" t="s">
        <v>22</v>
      </c>
      <c r="I28" s="13" t="s">
        <v>1842</v>
      </c>
      <c r="J28" s="13" t="s">
        <v>1843</v>
      </c>
      <c r="K28" s="13" t="s">
        <v>1844</v>
      </c>
      <c r="L28" s="13" t="s">
        <v>1845</v>
      </c>
      <c r="M28" s="13" t="s">
        <v>1527</v>
      </c>
      <c r="N28" s="13" t="s">
        <v>1846</v>
      </c>
      <c r="O28" s="13" t="s">
        <v>1527</v>
      </c>
      <c r="P28" s="13" t="s">
        <v>1847</v>
      </c>
      <c r="Q28" s="13" t="s">
        <v>1527</v>
      </c>
      <c r="R28" s="13" t="s">
        <v>1848</v>
      </c>
      <c r="S28" s="13" t="s">
        <v>1527</v>
      </c>
      <c r="T28" s="13" t="s">
        <v>1849</v>
      </c>
      <c r="U28" s="7" t="s">
        <v>1850</v>
      </c>
      <c r="V28" s="13">
        <v>10</v>
      </c>
      <c r="W28" s="13">
        <v>10</v>
      </c>
    </row>
    <row r="29" spans="2:23" ht="298.35000000000002" customHeight="1">
      <c r="B29" s="13" t="s">
        <v>1851</v>
      </c>
      <c r="C29" s="13"/>
      <c r="D29" s="13" t="s">
        <v>1613</v>
      </c>
      <c r="E29" s="13" t="s">
        <v>1852</v>
      </c>
      <c r="F29" s="13" t="s">
        <v>778</v>
      </c>
      <c r="G29" s="13" t="s">
        <v>1853</v>
      </c>
      <c r="H29" s="13" t="s">
        <v>22</v>
      </c>
      <c r="I29" s="13" t="s">
        <v>1853</v>
      </c>
      <c r="J29" s="13" t="s">
        <v>1854</v>
      </c>
      <c r="K29" s="13" t="s">
        <v>1527</v>
      </c>
      <c r="L29" s="13" t="s">
        <v>1855</v>
      </c>
      <c r="M29" s="13" t="s">
        <v>1527</v>
      </c>
      <c r="N29" s="13" t="s">
        <v>1856</v>
      </c>
      <c r="O29" s="13" t="s">
        <v>1527</v>
      </c>
      <c r="P29" s="13" t="s">
        <v>1857</v>
      </c>
      <c r="Q29" s="13" t="s">
        <v>1527</v>
      </c>
      <c r="R29" s="13" t="s">
        <v>1858</v>
      </c>
      <c r="S29" s="13" t="s">
        <v>1527</v>
      </c>
      <c r="T29" s="13" t="s">
        <v>1849</v>
      </c>
      <c r="U29" s="7" t="s">
        <v>1850</v>
      </c>
      <c r="V29" s="13">
        <v>10</v>
      </c>
      <c r="W29" s="13">
        <v>5</v>
      </c>
    </row>
  </sheetData>
  <mergeCells count="9">
    <mergeCell ref="W2:W3"/>
    <mergeCell ref="B3:B4"/>
    <mergeCell ref="C3:C4"/>
    <mergeCell ref="D3:D4"/>
    <mergeCell ref="E3:E4"/>
    <mergeCell ref="F3:F4"/>
    <mergeCell ref="G3:G4"/>
    <mergeCell ref="H3:H4"/>
    <mergeCell ref="I3:U3"/>
  </mergeCells>
  <hyperlinks>
    <hyperlink ref="K5" r:id="rId1" xr:uid="{00000000-0004-0000-0800-000000000000}"/>
    <hyperlink ref="S15" r:id="rId2" xr:uid="{00000000-0004-0000-0800-000001000000}"/>
    <hyperlink ref="O17" r:id="rId3" xr:uid="{00000000-0004-0000-0800-000002000000}"/>
    <hyperlink ref="M18" r:id="rId4" xr:uid="{00000000-0004-0000-0800-000003000000}"/>
    <hyperlink ref="O18" r:id="rId5" xr:uid="{00000000-0004-0000-0800-000004000000}"/>
    <hyperlink ref="O19" r:id="rId6" xr:uid="{00000000-0004-0000-0800-000005000000}"/>
    <hyperlink ref="O20" r:id="rId7" xr:uid="{00000000-0004-0000-0800-000006000000}"/>
    <hyperlink ref="K21" r:id="rId8" xr:uid="{00000000-0004-0000-0800-000007000000}"/>
    <hyperlink ref="O21" r:id="rId9" xr:uid="{00000000-0004-0000-0800-000008000000}"/>
    <hyperlink ref="O22" r:id="rId10" xr:uid="{00000000-0004-0000-0800-000009000000}"/>
    <hyperlink ref="K23" r:id="rId11" xr:uid="{00000000-0004-0000-0800-00000A000000}"/>
    <hyperlink ref="M24" r:id="rId12" xr:uid="{00000000-0004-0000-0800-00000B000000}"/>
    <hyperlink ref="O25" r:id="rId13" xr:uid="{00000000-0004-0000-0800-00000C000000}"/>
    <hyperlink ref="O27" r:id="rId14" xr:uid="{00000000-0004-0000-0800-00000D000000}"/>
  </hyperlinks>
  <pageMargins left="0.75" right="0.75" top="1" bottom="1" header="0.51180555555555496" footer="0.51180555555555496"/>
  <pageSetup paperSize="9" firstPageNumber="0" orientation="portrait" horizontalDpi="300" verticalDpi="300"/>
  <legacyDrawing r:id="rId1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AMJ16"/>
  <sheetViews>
    <sheetView zoomScale="57" zoomScaleNormal="57" workbookViewId="0"/>
  </sheetViews>
  <sheetFormatPr defaultColWidth="7" defaultRowHeight="12.75"/>
  <cols>
    <col min="1" max="1" width="7" style="5"/>
    <col min="2" max="2" width="14.5703125" style="5" customWidth="1"/>
    <col min="3" max="4" width="10.5703125" style="5" customWidth="1"/>
    <col min="5" max="5" width="26.85546875" style="5" customWidth="1"/>
    <col min="6" max="6" width="20.85546875" style="5" customWidth="1"/>
    <col min="7" max="7" width="32.42578125" style="5" customWidth="1"/>
    <col min="8" max="8" width="10.5703125" style="5" customWidth="1"/>
    <col min="9" max="9" width="20" style="5" customWidth="1"/>
    <col min="10" max="10" width="42.85546875" style="5" customWidth="1"/>
    <col min="11" max="11" width="13.7109375" style="5" customWidth="1"/>
    <col min="12" max="12" width="28.42578125" style="5" customWidth="1"/>
    <col min="13" max="13" width="10.5703125" style="5" customWidth="1"/>
    <col min="14" max="14" width="33.28515625" style="5" customWidth="1"/>
    <col min="15" max="15" width="10.5703125" style="5" customWidth="1"/>
    <col min="16" max="16" width="33.5703125" style="5" customWidth="1"/>
    <col min="17" max="17" width="10.5703125" style="5" customWidth="1"/>
    <col min="18" max="18" width="27" style="5" customWidth="1"/>
    <col min="19" max="23" width="10.5703125" style="5" customWidth="1"/>
    <col min="24" max="1024" width="7" style="5"/>
  </cols>
  <sheetData>
    <row r="3" spans="2:23">
      <c r="W3" s="3"/>
    </row>
    <row r="4" spans="2:23" ht="14.1" customHeight="1">
      <c r="B4" s="3" t="s">
        <v>321</v>
      </c>
      <c r="C4" s="3" t="s">
        <v>0</v>
      </c>
      <c r="D4" s="3" t="s">
        <v>1</v>
      </c>
      <c r="E4" s="3" t="s">
        <v>2</v>
      </c>
      <c r="F4" s="3" t="s">
        <v>3</v>
      </c>
      <c r="G4" s="3" t="s">
        <v>4</v>
      </c>
      <c r="H4" s="3" t="s">
        <v>5</v>
      </c>
      <c r="I4" s="3" t="s">
        <v>6</v>
      </c>
      <c r="J4" s="3"/>
      <c r="K4" s="3"/>
      <c r="L4" s="3"/>
      <c r="M4" s="3"/>
      <c r="N4" s="3"/>
      <c r="O4" s="3"/>
      <c r="P4" s="3"/>
      <c r="Q4" s="3"/>
      <c r="R4" s="3"/>
      <c r="S4" s="3"/>
      <c r="T4" s="3"/>
      <c r="U4" s="3"/>
      <c r="W4" s="3"/>
    </row>
    <row r="5" spans="2:23" ht="120">
      <c r="B5" s="3"/>
      <c r="C5" s="3"/>
      <c r="D5" s="3"/>
      <c r="E5" s="3"/>
      <c r="F5" s="3"/>
      <c r="G5" s="3"/>
      <c r="H5" s="3"/>
      <c r="I5" s="7" t="s">
        <v>7</v>
      </c>
      <c r="J5" s="7" t="s">
        <v>8</v>
      </c>
      <c r="K5" s="7" t="s">
        <v>9</v>
      </c>
      <c r="L5" s="7" t="s">
        <v>10</v>
      </c>
      <c r="M5" s="7" t="s">
        <v>9</v>
      </c>
      <c r="N5" s="7" t="s">
        <v>11</v>
      </c>
      <c r="O5" s="7" t="s">
        <v>9</v>
      </c>
      <c r="P5" s="7" t="s">
        <v>12</v>
      </c>
      <c r="Q5" s="7" t="s">
        <v>9</v>
      </c>
      <c r="R5" s="7" t="s">
        <v>13</v>
      </c>
      <c r="S5" s="7" t="s">
        <v>9</v>
      </c>
      <c r="T5" s="7" t="s">
        <v>14</v>
      </c>
      <c r="U5" s="7" t="s">
        <v>9</v>
      </c>
      <c r="V5" s="6" t="s">
        <v>15</v>
      </c>
      <c r="W5" s="6" t="s">
        <v>16</v>
      </c>
    </row>
    <row r="6" spans="2:23" ht="165">
      <c r="B6" s="23" t="s">
        <v>1859</v>
      </c>
      <c r="C6" s="23"/>
      <c r="D6" s="23"/>
      <c r="E6" s="23" t="s">
        <v>1860</v>
      </c>
      <c r="F6" s="23" t="s">
        <v>913</v>
      </c>
      <c r="G6" s="23" t="s">
        <v>1861</v>
      </c>
      <c r="H6" s="7" t="s">
        <v>22</v>
      </c>
      <c r="I6" s="23" t="s">
        <v>1861</v>
      </c>
      <c r="J6" s="23" t="s">
        <v>1862</v>
      </c>
      <c r="K6" s="23" t="s">
        <v>1863</v>
      </c>
      <c r="L6" s="23" t="s">
        <v>1864</v>
      </c>
      <c r="M6" s="23" t="s">
        <v>1863</v>
      </c>
      <c r="N6" s="23" t="s">
        <v>1865</v>
      </c>
      <c r="O6" s="7" t="s">
        <v>1866</v>
      </c>
      <c r="P6" s="23" t="s">
        <v>1867</v>
      </c>
      <c r="Q6" s="7" t="s">
        <v>1866</v>
      </c>
      <c r="R6" s="31" t="s">
        <v>1868</v>
      </c>
      <c r="S6" s="23"/>
      <c r="T6" s="23"/>
      <c r="U6" s="23"/>
      <c r="V6" s="23">
        <v>20</v>
      </c>
      <c r="W6" s="23">
        <v>10</v>
      </c>
    </row>
    <row r="7" spans="2:23" ht="270">
      <c r="B7" s="23" t="s">
        <v>1869</v>
      </c>
      <c r="C7" s="23"/>
      <c r="D7" s="23"/>
      <c r="E7" s="23" t="s">
        <v>1870</v>
      </c>
      <c r="F7" s="23" t="s">
        <v>913</v>
      </c>
      <c r="G7" s="23" t="s">
        <v>1494</v>
      </c>
      <c r="H7" s="7" t="s">
        <v>22</v>
      </c>
      <c r="I7" s="23" t="s">
        <v>1494</v>
      </c>
      <c r="J7" s="23" t="s">
        <v>1871</v>
      </c>
      <c r="K7" s="23" t="s">
        <v>1872</v>
      </c>
      <c r="L7" s="23" t="s">
        <v>1873</v>
      </c>
      <c r="M7" s="23" t="s">
        <v>1874</v>
      </c>
      <c r="N7" s="23" t="s">
        <v>1875</v>
      </c>
      <c r="O7" s="23" t="s">
        <v>1876</v>
      </c>
      <c r="P7" s="23" t="s">
        <v>1877</v>
      </c>
      <c r="Q7" s="23" t="s">
        <v>1874</v>
      </c>
      <c r="R7" s="77" t="s">
        <v>1878</v>
      </c>
      <c r="S7" s="23" t="s">
        <v>1879</v>
      </c>
      <c r="T7" s="23" t="s">
        <v>1501</v>
      </c>
      <c r="U7" s="23" t="s">
        <v>1880</v>
      </c>
      <c r="V7" s="23">
        <v>25</v>
      </c>
      <c r="W7" s="23">
        <v>15</v>
      </c>
    </row>
    <row r="8" spans="2:23" ht="210">
      <c r="B8" s="23" t="s">
        <v>1881</v>
      </c>
      <c r="C8" s="23"/>
      <c r="D8" s="23"/>
      <c r="E8" s="23" t="s">
        <v>1882</v>
      </c>
      <c r="F8" s="23" t="s">
        <v>132</v>
      </c>
      <c r="G8" s="23" t="s">
        <v>1883</v>
      </c>
      <c r="H8" s="7" t="s">
        <v>22</v>
      </c>
      <c r="I8" s="23" t="s">
        <v>1883</v>
      </c>
      <c r="J8" s="23" t="s">
        <v>1884</v>
      </c>
      <c r="K8" s="23" t="s">
        <v>1885</v>
      </c>
      <c r="L8" s="23" t="s">
        <v>1886</v>
      </c>
      <c r="M8" s="23" t="s">
        <v>1885</v>
      </c>
      <c r="N8" s="23" t="s">
        <v>1887</v>
      </c>
      <c r="O8" s="23" t="s">
        <v>1888</v>
      </c>
      <c r="P8" s="23" t="s">
        <v>1889</v>
      </c>
      <c r="Q8" s="23" t="s">
        <v>1885</v>
      </c>
      <c r="R8" s="23"/>
      <c r="S8" s="23"/>
      <c r="T8" s="23"/>
      <c r="U8" s="23"/>
      <c r="V8" s="23">
        <v>20</v>
      </c>
      <c r="W8" s="23">
        <v>5</v>
      </c>
    </row>
    <row r="9" spans="2:23" ht="135">
      <c r="B9" s="23" t="s">
        <v>1890</v>
      </c>
      <c r="C9" s="23"/>
      <c r="D9" s="23"/>
      <c r="E9" s="23" t="s">
        <v>1891</v>
      </c>
      <c r="F9" s="23" t="s">
        <v>132</v>
      </c>
      <c r="G9" s="23" t="s">
        <v>1883</v>
      </c>
      <c r="H9" s="7" t="s">
        <v>22</v>
      </c>
      <c r="I9" s="23" t="s">
        <v>1883</v>
      </c>
      <c r="J9" s="23" t="s">
        <v>1892</v>
      </c>
      <c r="K9" s="23" t="s">
        <v>1893</v>
      </c>
      <c r="L9" s="23" t="s">
        <v>1894</v>
      </c>
      <c r="M9" s="23" t="s">
        <v>1893</v>
      </c>
      <c r="N9" s="23" t="s">
        <v>1895</v>
      </c>
      <c r="O9" s="23" t="s">
        <v>1893</v>
      </c>
      <c r="P9" s="23" t="s">
        <v>1896</v>
      </c>
      <c r="Q9" s="23" t="s">
        <v>1893</v>
      </c>
      <c r="R9" s="40"/>
      <c r="S9" s="23"/>
      <c r="T9" s="23"/>
      <c r="U9" s="23"/>
      <c r="V9" s="23">
        <v>25</v>
      </c>
      <c r="W9" s="23">
        <v>5</v>
      </c>
    </row>
    <row r="10" spans="2:23" customFormat="1" ht="225">
      <c r="B10" s="63" t="s">
        <v>1897</v>
      </c>
      <c r="C10" s="10"/>
      <c r="D10" s="58"/>
      <c r="E10" s="7" t="s">
        <v>1898</v>
      </c>
      <c r="F10" s="7" t="s">
        <v>1899</v>
      </c>
      <c r="G10" s="7" t="s">
        <v>1576</v>
      </c>
      <c r="H10" s="58" t="s">
        <v>327</v>
      </c>
      <c r="I10" s="7" t="s">
        <v>1576</v>
      </c>
      <c r="J10" s="7" t="s">
        <v>1900</v>
      </c>
      <c r="K10" s="23" t="s">
        <v>335</v>
      </c>
      <c r="L10" s="7" t="s">
        <v>1901</v>
      </c>
      <c r="M10" s="23" t="s">
        <v>335</v>
      </c>
      <c r="N10" s="7" t="s">
        <v>1902</v>
      </c>
      <c r="O10" s="23" t="s">
        <v>335</v>
      </c>
      <c r="P10" s="7" t="s">
        <v>1903</v>
      </c>
      <c r="Q10" s="23" t="s">
        <v>335</v>
      </c>
      <c r="R10" s="31" t="s">
        <v>1904</v>
      </c>
      <c r="S10" s="66" t="s">
        <v>971</v>
      </c>
      <c r="T10" s="10"/>
      <c r="U10" s="10"/>
      <c r="V10" s="66">
        <v>20</v>
      </c>
      <c r="W10" s="10">
        <v>10</v>
      </c>
    </row>
    <row r="11" spans="2:23" customFormat="1" ht="120">
      <c r="B11" s="63" t="s">
        <v>1905</v>
      </c>
      <c r="C11" s="10"/>
      <c r="D11" s="58"/>
      <c r="E11" s="58" t="s">
        <v>1906</v>
      </c>
      <c r="F11" s="7" t="s">
        <v>1302</v>
      </c>
      <c r="G11" s="7" t="s">
        <v>1319</v>
      </c>
      <c r="H11" s="58" t="s">
        <v>327</v>
      </c>
      <c r="I11" s="7" t="s">
        <v>1319</v>
      </c>
      <c r="J11" s="7" t="s">
        <v>1907</v>
      </c>
      <c r="K11" s="23" t="s">
        <v>335</v>
      </c>
      <c r="L11" s="7" t="s">
        <v>1908</v>
      </c>
      <c r="M11" s="23" t="s">
        <v>335</v>
      </c>
      <c r="N11" s="7" t="s">
        <v>1909</v>
      </c>
      <c r="O11" s="23" t="s">
        <v>335</v>
      </c>
      <c r="P11" s="7" t="s">
        <v>1910</v>
      </c>
      <c r="Q11" s="23" t="s">
        <v>335</v>
      </c>
      <c r="R11" s="65" t="s">
        <v>1911</v>
      </c>
      <c r="S11" s="10"/>
      <c r="T11" s="10"/>
      <c r="U11" s="10"/>
      <c r="V11" s="66">
        <v>20</v>
      </c>
      <c r="W11" s="10">
        <v>15</v>
      </c>
    </row>
    <row r="12" spans="2:23" s="72" customFormat="1" ht="240">
      <c r="B12" s="13" t="s">
        <v>1912</v>
      </c>
      <c r="C12" s="13"/>
      <c r="D12" s="13" t="s">
        <v>1613</v>
      </c>
      <c r="E12" s="13" t="s">
        <v>1913</v>
      </c>
      <c r="F12" s="13" t="s">
        <v>1615</v>
      </c>
      <c r="G12" s="13" t="s">
        <v>1914</v>
      </c>
      <c r="H12" s="13" t="s">
        <v>22</v>
      </c>
      <c r="I12" s="13" t="s">
        <v>1914</v>
      </c>
      <c r="J12" s="13" t="s">
        <v>1915</v>
      </c>
      <c r="K12" s="13" t="s">
        <v>1916</v>
      </c>
      <c r="L12" s="13" t="s">
        <v>1917</v>
      </c>
      <c r="M12" s="13" t="s">
        <v>1918</v>
      </c>
      <c r="N12" s="13" t="s">
        <v>1919</v>
      </c>
      <c r="O12" s="13" t="s">
        <v>1920</v>
      </c>
      <c r="P12" s="30" t="s">
        <v>1921</v>
      </c>
      <c r="Q12" s="13" t="s">
        <v>1922</v>
      </c>
      <c r="R12" s="30" t="s">
        <v>1923</v>
      </c>
      <c r="S12" s="13" t="s">
        <v>1924</v>
      </c>
      <c r="T12" s="13"/>
      <c r="U12" s="13"/>
      <c r="V12" s="13">
        <v>15</v>
      </c>
      <c r="W12" s="13">
        <v>5</v>
      </c>
    </row>
    <row r="13" spans="2:23" customFormat="1" ht="159.19999999999999" customHeight="1"/>
    <row r="14" spans="2:23" customFormat="1"/>
    <row r="15" spans="2:23" customFormat="1" ht="184.15" customHeight="1"/>
    <row r="16" spans="2:23" customFormat="1"/>
  </sheetData>
  <mergeCells count="9">
    <mergeCell ref="W3:W4"/>
    <mergeCell ref="B4:B5"/>
    <mergeCell ref="C4:C5"/>
    <mergeCell ref="D4:D5"/>
    <mergeCell ref="E4:E5"/>
    <mergeCell ref="F4:F5"/>
    <mergeCell ref="G4:G5"/>
    <mergeCell ref="H4:H5"/>
    <mergeCell ref="I4:U4"/>
  </mergeCells>
  <pageMargins left="0.75" right="0.75" top="1" bottom="1" header="0.51180555555555496" footer="0.51180555555555496"/>
  <pageSetup paperSize="9"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W15"/>
  <sheetViews>
    <sheetView zoomScale="57" zoomScaleNormal="57" workbookViewId="0"/>
  </sheetViews>
  <sheetFormatPr defaultColWidth="12.5703125" defaultRowHeight="12.75"/>
  <cols>
    <col min="5" max="5" width="20.85546875" customWidth="1"/>
    <col min="9" max="9" width="22.140625" customWidth="1"/>
    <col min="10" max="10" width="30.7109375" customWidth="1"/>
    <col min="12" max="12" width="23.5703125" customWidth="1"/>
    <col min="14" max="14" width="22.42578125" customWidth="1"/>
    <col min="16" max="16" width="26.42578125" customWidth="1"/>
    <col min="18" max="18" width="19" customWidth="1"/>
  </cols>
  <sheetData>
    <row r="1" spans="2:23" s="5" customFormat="1" ht="14.1" customHeight="1">
      <c r="B1" s="3" t="s">
        <v>321</v>
      </c>
      <c r="C1" s="3" t="s">
        <v>0</v>
      </c>
      <c r="D1" s="3" t="s">
        <v>1</v>
      </c>
      <c r="E1" s="3" t="s">
        <v>2</v>
      </c>
      <c r="F1" s="3" t="s">
        <v>3</v>
      </c>
      <c r="G1" s="3" t="s">
        <v>4</v>
      </c>
      <c r="H1" s="3" t="s">
        <v>5</v>
      </c>
      <c r="I1" s="3" t="s">
        <v>6</v>
      </c>
      <c r="J1" s="3"/>
      <c r="K1" s="3"/>
      <c r="L1" s="3"/>
      <c r="M1" s="3"/>
      <c r="N1" s="3"/>
      <c r="O1" s="3"/>
      <c r="P1" s="3"/>
      <c r="Q1" s="3"/>
      <c r="R1" s="3"/>
      <c r="S1" s="3"/>
      <c r="T1" s="3"/>
      <c r="U1" s="3"/>
      <c r="W1" s="6"/>
    </row>
    <row r="2" spans="2:23" s="5" customFormat="1" ht="90">
      <c r="B2" s="3"/>
      <c r="C2" s="3"/>
      <c r="D2" s="3"/>
      <c r="E2" s="3"/>
      <c r="F2" s="3"/>
      <c r="G2" s="3"/>
      <c r="H2" s="3"/>
      <c r="I2" s="7" t="s">
        <v>7</v>
      </c>
      <c r="J2" s="7" t="s">
        <v>8</v>
      </c>
      <c r="K2" s="7" t="s">
        <v>9</v>
      </c>
      <c r="L2" s="7" t="s">
        <v>10</v>
      </c>
      <c r="M2" s="7" t="s">
        <v>9</v>
      </c>
      <c r="N2" s="7" t="s">
        <v>11</v>
      </c>
      <c r="O2" s="7" t="s">
        <v>9</v>
      </c>
      <c r="P2" s="7" t="s">
        <v>12</v>
      </c>
      <c r="Q2" s="7" t="s">
        <v>9</v>
      </c>
      <c r="R2" s="7" t="s">
        <v>13</v>
      </c>
      <c r="S2" s="7" t="s">
        <v>9</v>
      </c>
      <c r="T2" s="7" t="s">
        <v>14</v>
      </c>
      <c r="U2" s="7" t="s">
        <v>9</v>
      </c>
      <c r="V2" s="6" t="s">
        <v>15</v>
      </c>
      <c r="W2" s="6" t="s">
        <v>16</v>
      </c>
    </row>
    <row r="3" spans="2:23" s="5" customFormat="1" ht="259.5" customHeight="1">
      <c r="B3" s="23" t="s">
        <v>1925</v>
      </c>
      <c r="C3" s="23"/>
      <c r="D3" s="23"/>
      <c r="E3" s="23" t="s">
        <v>1926</v>
      </c>
      <c r="F3" s="23" t="s">
        <v>20</v>
      </c>
      <c r="G3" s="23" t="s">
        <v>1927</v>
      </c>
      <c r="H3" s="7" t="s">
        <v>22</v>
      </c>
      <c r="I3" s="23" t="s">
        <v>1927</v>
      </c>
      <c r="J3" s="23" t="s">
        <v>1928</v>
      </c>
      <c r="K3" s="23" t="s">
        <v>1929</v>
      </c>
      <c r="L3" s="23" t="s">
        <v>1930</v>
      </c>
      <c r="M3" s="23" t="s">
        <v>1929</v>
      </c>
      <c r="N3" s="23" t="s">
        <v>1931</v>
      </c>
      <c r="O3" s="23" t="s">
        <v>1929</v>
      </c>
      <c r="P3" s="23" t="s">
        <v>1932</v>
      </c>
      <c r="Q3" s="23" t="s">
        <v>1929</v>
      </c>
      <c r="R3" s="60" t="s">
        <v>1933</v>
      </c>
      <c r="S3" s="23" t="s">
        <v>1929</v>
      </c>
      <c r="T3" s="23"/>
      <c r="U3" s="23"/>
      <c r="V3" s="23">
        <v>15</v>
      </c>
      <c r="W3" s="23">
        <v>5</v>
      </c>
    </row>
    <row r="4" spans="2:23" s="5" customFormat="1" ht="208.5" customHeight="1">
      <c r="B4" s="23" t="s">
        <v>1934</v>
      </c>
      <c r="C4" s="23"/>
      <c r="D4" s="23"/>
      <c r="E4" s="23" t="s">
        <v>1935</v>
      </c>
      <c r="F4" s="23" t="s">
        <v>1223</v>
      </c>
      <c r="G4" s="23" t="s">
        <v>1936</v>
      </c>
      <c r="H4" s="7" t="s">
        <v>22</v>
      </c>
      <c r="I4" s="23" t="s">
        <v>1936</v>
      </c>
      <c r="J4" s="23" t="s">
        <v>1937</v>
      </c>
      <c r="K4" s="23" t="s">
        <v>1938</v>
      </c>
      <c r="L4" s="23" t="s">
        <v>1939</v>
      </c>
      <c r="M4" s="23" t="s">
        <v>1938</v>
      </c>
      <c r="N4" s="23" t="s">
        <v>1940</v>
      </c>
      <c r="O4" s="23" t="s">
        <v>1938</v>
      </c>
      <c r="P4" s="23" t="s">
        <v>1941</v>
      </c>
      <c r="Q4" s="23" t="s">
        <v>1938</v>
      </c>
      <c r="R4" s="23" t="s">
        <v>1942</v>
      </c>
      <c r="S4" s="23"/>
      <c r="T4" s="23" t="s">
        <v>1943</v>
      </c>
      <c r="U4" s="23" t="s">
        <v>1938</v>
      </c>
      <c r="V4" s="23">
        <v>20</v>
      </c>
      <c r="W4" s="23">
        <v>10</v>
      </c>
    </row>
    <row r="5" spans="2:23" s="5" customFormat="1" ht="272.25" customHeight="1">
      <c r="B5" s="23" t="s">
        <v>1944</v>
      </c>
      <c r="C5" s="23"/>
      <c r="D5" s="23"/>
      <c r="E5" s="23" t="s">
        <v>1945</v>
      </c>
      <c r="F5" s="23" t="s">
        <v>1223</v>
      </c>
      <c r="G5" s="23" t="s">
        <v>1946</v>
      </c>
      <c r="H5" s="7" t="s">
        <v>22</v>
      </c>
      <c r="I5" s="23" t="s">
        <v>1946</v>
      </c>
      <c r="J5" s="23" t="s">
        <v>1947</v>
      </c>
      <c r="K5" s="23" t="s">
        <v>1948</v>
      </c>
      <c r="L5" s="23" t="s">
        <v>1949</v>
      </c>
      <c r="M5" s="23" t="s">
        <v>1950</v>
      </c>
      <c r="N5" s="23" t="s">
        <v>1951</v>
      </c>
      <c r="O5" s="23" t="s">
        <v>1952</v>
      </c>
      <c r="P5" s="23" t="s">
        <v>1953</v>
      </c>
      <c r="Q5" s="23" t="s">
        <v>1952</v>
      </c>
      <c r="R5" s="7" t="s">
        <v>1954</v>
      </c>
      <c r="S5" s="23"/>
      <c r="T5" s="23" t="s">
        <v>1955</v>
      </c>
      <c r="U5" s="23" t="s">
        <v>1950</v>
      </c>
      <c r="V5" s="23">
        <v>20</v>
      </c>
      <c r="W5" s="23">
        <v>10</v>
      </c>
    </row>
    <row r="6" spans="2:23" s="5" customFormat="1" ht="320.25" customHeight="1">
      <c r="B6" s="23" t="s">
        <v>1956</v>
      </c>
      <c r="C6" s="23"/>
      <c r="D6" s="23"/>
      <c r="E6" s="23" t="s">
        <v>1957</v>
      </c>
      <c r="F6" s="23" t="s">
        <v>1223</v>
      </c>
      <c r="G6" s="23" t="s">
        <v>1946</v>
      </c>
      <c r="H6" s="7" t="s">
        <v>22</v>
      </c>
      <c r="I6" s="23" t="s">
        <v>1946</v>
      </c>
      <c r="J6" s="23" t="s">
        <v>1958</v>
      </c>
      <c r="K6" s="23" t="s">
        <v>1959</v>
      </c>
      <c r="L6" s="23" t="s">
        <v>1960</v>
      </c>
      <c r="M6" s="23" t="s">
        <v>1959</v>
      </c>
      <c r="N6" s="23" t="s">
        <v>1961</v>
      </c>
      <c r="O6" s="23" t="s">
        <v>1959</v>
      </c>
      <c r="P6" s="23" t="s">
        <v>1962</v>
      </c>
      <c r="Q6" s="23" t="s">
        <v>1963</v>
      </c>
      <c r="R6" s="10"/>
      <c r="S6" s="23"/>
      <c r="T6" s="23"/>
      <c r="U6" s="23"/>
      <c r="V6" s="23">
        <v>20</v>
      </c>
      <c r="W6" s="23">
        <v>5</v>
      </c>
    </row>
    <row r="7" spans="2:23" s="5" customFormat="1" ht="409.5">
      <c r="B7" s="23" t="s">
        <v>1964</v>
      </c>
      <c r="C7" s="23"/>
      <c r="D7" s="23"/>
      <c r="E7" s="23" t="s">
        <v>1965</v>
      </c>
      <c r="F7" s="23" t="s">
        <v>1966</v>
      </c>
      <c r="G7" s="23" t="s">
        <v>1967</v>
      </c>
      <c r="H7" s="7" t="s">
        <v>22</v>
      </c>
      <c r="I7" s="23" t="s">
        <v>1967</v>
      </c>
      <c r="J7" s="23" t="s">
        <v>1968</v>
      </c>
      <c r="K7" s="23" t="s">
        <v>1969</v>
      </c>
      <c r="L7" s="23" t="s">
        <v>1970</v>
      </c>
      <c r="M7" s="23" t="s">
        <v>1969</v>
      </c>
      <c r="N7" s="23" t="s">
        <v>1971</v>
      </c>
      <c r="O7" s="23" t="s">
        <v>1969</v>
      </c>
      <c r="P7" s="23" t="s">
        <v>1972</v>
      </c>
      <c r="Q7" s="23" t="s">
        <v>1969</v>
      </c>
      <c r="R7" s="31" t="s">
        <v>1973</v>
      </c>
      <c r="S7" s="23" t="s">
        <v>971</v>
      </c>
      <c r="T7" s="23" t="s">
        <v>1974</v>
      </c>
      <c r="U7" s="23" t="s">
        <v>1969</v>
      </c>
      <c r="V7" s="23">
        <v>20</v>
      </c>
      <c r="W7" s="23">
        <v>5</v>
      </c>
    </row>
    <row r="8" spans="2:23" s="5" customFormat="1" ht="240">
      <c r="B8" s="23" t="s">
        <v>1975</v>
      </c>
      <c r="C8" s="23"/>
      <c r="D8" s="23"/>
      <c r="E8" s="23" t="s">
        <v>1976</v>
      </c>
      <c r="F8" s="23" t="s">
        <v>1223</v>
      </c>
      <c r="G8" s="23" t="s">
        <v>1977</v>
      </c>
      <c r="H8" s="7" t="s">
        <v>22</v>
      </c>
      <c r="I8" s="23" t="s">
        <v>1977</v>
      </c>
      <c r="J8" s="23" t="s">
        <v>1978</v>
      </c>
      <c r="K8" s="23" t="s">
        <v>1979</v>
      </c>
      <c r="L8" s="23" t="s">
        <v>1980</v>
      </c>
      <c r="M8" s="23" t="s">
        <v>1981</v>
      </c>
      <c r="N8" s="23" t="s">
        <v>1982</v>
      </c>
      <c r="O8" s="23" t="s">
        <v>1983</v>
      </c>
      <c r="P8" s="23" t="s">
        <v>1984</v>
      </c>
      <c r="Q8" s="23" t="s">
        <v>1983</v>
      </c>
      <c r="R8" s="23"/>
      <c r="S8" s="23"/>
      <c r="T8" s="23"/>
      <c r="U8" s="23"/>
      <c r="V8" s="23">
        <v>15</v>
      </c>
      <c r="W8" s="23">
        <v>5</v>
      </c>
    </row>
    <row r="9" spans="2:23" s="5" customFormat="1" ht="330">
      <c r="B9" s="7" t="s">
        <v>1985</v>
      </c>
      <c r="C9" s="23"/>
      <c r="D9" s="23"/>
      <c r="E9" s="23" t="s">
        <v>1986</v>
      </c>
      <c r="F9" s="23" t="s">
        <v>1223</v>
      </c>
      <c r="G9" s="23" t="s">
        <v>1987</v>
      </c>
      <c r="H9" s="7" t="s">
        <v>22</v>
      </c>
      <c r="I9" s="23" t="s">
        <v>1987</v>
      </c>
      <c r="J9" s="23" t="s">
        <v>1988</v>
      </c>
      <c r="K9" s="7" t="s">
        <v>1989</v>
      </c>
      <c r="L9" s="23" t="s">
        <v>1990</v>
      </c>
      <c r="M9" s="7" t="s">
        <v>1991</v>
      </c>
      <c r="N9" s="23" t="s">
        <v>1992</v>
      </c>
      <c r="O9" s="7" t="s">
        <v>1991</v>
      </c>
      <c r="P9" s="23" t="s">
        <v>1993</v>
      </c>
      <c r="Q9" s="7" t="s">
        <v>1991</v>
      </c>
      <c r="R9" s="23"/>
      <c r="S9" s="23"/>
      <c r="T9" s="23"/>
      <c r="U9" s="23"/>
      <c r="V9" s="23">
        <v>15</v>
      </c>
      <c r="W9" s="23">
        <v>5</v>
      </c>
    </row>
    <row r="10" spans="2:23" s="5" customFormat="1" ht="225">
      <c r="B10" s="7" t="s">
        <v>1994</v>
      </c>
      <c r="C10" s="44"/>
      <c r="D10" s="44"/>
      <c r="E10" s="23" t="s">
        <v>1986</v>
      </c>
      <c r="F10" s="23" t="s">
        <v>1223</v>
      </c>
      <c r="G10" s="23" t="s">
        <v>1987</v>
      </c>
      <c r="H10" s="7" t="s">
        <v>22</v>
      </c>
      <c r="I10" s="23" t="s">
        <v>1987</v>
      </c>
      <c r="J10" s="44" t="s">
        <v>1995</v>
      </c>
      <c r="K10" s="7" t="s">
        <v>1996</v>
      </c>
      <c r="L10" s="44" t="s">
        <v>1997</v>
      </c>
      <c r="M10" s="44" t="s">
        <v>1998</v>
      </c>
      <c r="N10" s="23" t="s">
        <v>1999</v>
      </c>
      <c r="O10" s="23" t="s">
        <v>1998</v>
      </c>
      <c r="P10" s="23" t="s">
        <v>2000</v>
      </c>
      <c r="Q10" s="23" t="s">
        <v>1998</v>
      </c>
      <c r="R10" s="23"/>
      <c r="S10" s="23"/>
      <c r="T10" s="23"/>
      <c r="U10" s="23"/>
      <c r="V10" s="23">
        <v>20</v>
      </c>
      <c r="W10" s="23">
        <v>5</v>
      </c>
    </row>
    <row r="11" spans="2:23" s="5" customFormat="1" ht="159.19999999999999" customHeight="1">
      <c r="B11" s="7" t="s">
        <v>2001</v>
      </c>
      <c r="E11" s="23" t="s">
        <v>2002</v>
      </c>
      <c r="F11" s="23" t="s">
        <v>1223</v>
      </c>
      <c r="G11" s="5" t="s">
        <v>2003</v>
      </c>
      <c r="H11" s="7" t="s">
        <v>22</v>
      </c>
      <c r="I11" s="5" t="s">
        <v>2003</v>
      </c>
      <c r="J11" s="5" t="s">
        <v>2004</v>
      </c>
      <c r="K11" s="78" t="s">
        <v>2005</v>
      </c>
      <c r="L11" s="5" t="s">
        <v>2006</v>
      </c>
      <c r="M11" s="5" t="s">
        <v>2007</v>
      </c>
      <c r="N11" s="5" t="s">
        <v>2008</v>
      </c>
      <c r="O11" s="5" t="s">
        <v>2009</v>
      </c>
      <c r="P11" s="5" t="s">
        <v>2010</v>
      </c>
      <c r="Q11" s="5" t="s">
        <v>2009</v>
      </c>
      <c r="R11" s="5" t="s">
        <v>2011</v>
      </c>
      <c r="S11" s="5" t="s">
        <v>2009</v>
      </c>
      <c r="V11" s="5">
        <v>15</v>
      </c>
      <c r="W11" s="5">
        <v>5</v>
      </c>
    </row>
    <row r="12" spans="2:23" s="5" customFormat="1" ht="153">
      <c r="B12" s="7" t="s">
        <v>2012</v>
      </c>
      <c r="E12" s="23" t="s">
        <v>2013</v>
      </c>
      <c r="F12" s="23" t="s">
        <v>1223</v>
      </c>
      <c r="G12" s="5" t="s">
        <v>1946</v>
      </c>
      <c r="H12" s="7" t="s">
        <v>22</v>
      </c>
      <c r="I12" s="5" t="s">
        <v>1946</v>
      </c>
      <c r="J12" s="5" t="s">
        <v>2014</v>
      </c>
      <c r="K12" s="78" t="s">
        <v>2015</v>
      </c>
      <c r="L12" s="5" t="s">
        <v>2016</v>
      </c>
      <c r="M12" s="5" t="s">
        <v>2017</v>
      </c>
      <c r="N12" s="5" t="s">
        <v>2018</v>
      </c>
      <c r="O12" s="7" t="s">
        <v>2019</v>
      </c>
      <c r="P12" s="5" t="s">
        <v>2020</v>
      </c>
      <c r="Q12" s="7" t="s">
        <v>2019</v>
      </c>
      <c r="R12" s="5" t="s">
        <v>2021</v>
      </c>
      <c r="S12" s="7" t="s">
        <v>2019</v>
      </c>
      <c r="V12" s="5">
        <v>15</v>
      </c>
      <c r="W12" s="5">
        <v>5</v>
      </c>
    </row>
    <row r="13" spans="2:23" s="5" customFormat="1" ht="184.15" customHeight="1">
      <c r="B13" s="7" t="s">
        <v>2022</v>
      </c>
      <c r="E13" s="23" t="s">
        <v>2023</v>
      </c>
      <c r="F13" s="23" t="s">
        <v>1223</v>
      </c>
      <c r="G13" s="7" t="s">
        <v>2024</v>
      </c>
      <c r="H13" s="7" t="s">
        <v>22</v>
      </c>
      <c r="I13" s="7" t="s">
        <v>2024</v>
      </c>
      <c r="J13" s="5" t="s">
        <v>2025</v>
      </c>
      <c r="K13" s="78" t="s">
        <v>2026</v>
      </c>
      <c r="L13" s="5" t="s">
        <v>2027</v>
      </c>
      <c r="M13" s="5" t="s">
        <v>2028</v>
      </c>
      <c r="N13" s="5" t="s">
        <v>2029</v>
      </c>
      <c r="O13" s="5" t="s">
        <v>2028</v>
      </c>
      <c r="P13" s="5" t="s">
        <v>2030</v>
      </c>
      <c r="Q13" s="5" t="s">
        <v>2028</v>
      </c>
      <c r="R13" s="59" t="s">
        <v>2031</v>
      </c>
      <c r="V13" s="5">
        <v>20</v>
      </c>
      <c r="W13" s="5">
        <v>5</v>
      </c>
    </row>
    <row r="14" spans="2:23" s="5" customFormat="1" ht="197.65" customHeight="1">
      <c r="B14" s="7" t="s">
        <v>2032</v>
      </c>
      <c r="E14" s="5" t="s">
        <v>2033</v>
      </c>
      <c r="F14" s="5" t="s">
        <v>1223</v>
      </c>
      <c r="G14" s="5" t="s">
        <v>2034</v>
      </c>
      <c r="H14" s="7" t="s">
        <v>22</v>
      </c>
      <c r="I14" s="5" t="s">
        <v>2034</v>
      </c>
      <c r="J14" s="5" t="s">
        <v>2035</v>
      </c>
      <c r="K14" s="5" t="s">
        <v>2036</v>
      </c>
      <c r="L14" s="5" t="s">
        <v>2037</v>
      </c>
      <c r="M14" s="5" t="s">
        <v>2036</v>
      </c>
      <c r="N14" s="5" t="s">
        <v>2038</v>
      </c>
      <c r="O14" s="5" t="s">
        <v>2036</v>
      </c>
      <c r="P14" s="5" t="s">
        <v>2039</v>
      </c>
      <c r="Q14" s="5" t="s">
        <v>2036</v>
      </c>
      <c r="S14" s="5" t="s">
        <v>2040</v>
      </c>
      <c r="T14" s="5" t="s">
        <v>2041</v>
      </c>
      <c r="V14" s="5">
        <v>15</v>
      </c>
      <c r="W14" s="5">
        <v>3</v>
      </c>
    </row>
    <row r="15" spans="2:23" s="5" customFormat="1" ht="289.14999999999998" customHeight="1">
      <c r="B15"/>
      <c r="C15"/>
      <c r="D15"/>
      <c r="E15"/>
      <c r="F15"/>
      <c r="G15"/>
      <c r="H15"/>
      <c r="I15"/>
      <c r="J15"/>
      <c r="K15"/>
      <c r="L15"/>
      <c r="M15"/>
      <c r="N15"/>
      <c r="O15"/>
      <c r="P15"/>
      <c r="Q15"/>
      <c r="R15"/>
      <c r="S15"/>
      <c r="V15" s="5">
        <v>15</v>
      </c>
      <c r="W15" s="5">
        <v>5</v>
      </c>
    </row>
  </sheetData>
  <mergeCells count="8">
    <mergeCell ref="G1:G2"/>
    <mergeCell ref="H1:H2"/>
    <mergeCell ref="I1:U1"/>
    <mergeCell ref="B1:B2"/>
    <mergeCell ref="C1:C2"/>
    <mergeCell ref="D1:D2"/>
    <mergeCell ref="E1:E2"/>
    <mergeCell ref="F1:F2"/>
  </mergeCells>
  <hyperlinks>
    <hyperlink ref="K10" r:id="rId1" xr:uid="{00000000-0004-0000-0A00-000000000000}"/>
    <hyperlink ref="K13" r:id="rId2" xr:uid="{00000000-0004-0000-0A00-000001000000}"/>
  </hyperlinks>
  <pageMargins left="0.78749999999999998" right="0.78749999999999998" top="1.05277777777778" bottom="1.05277777777778" header="0.78749999999999998" footer="0.78749999999999998"/>
  <pageSetup paperSize="9" firstPageNumber="0" orientation="portrait" horizontalDpi="300" verticalDpi="300"/>
  <headerFooter>
    <oddHeader>&amp;C&amp;"Calibri,Regular"&amp;12&amp;A</oddHeader>
    <oddFooter>&amp;C&amp;"Calibri,Regular"&amp;12Seite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Kardiovaskuläre Erkrankungen</vt:lpstr>
      <vt:lpstr>Antiinfektiva</vt:lpstr>
      <vt:lpstr>metabolisches System</vt:lpstr>
      <vt:lpstr>Neurologische und Psychiatrisch</vt:lpstr>
      <vt:lpstr>Endokrine Erkrankungen</vt:lpstr>
      <vt:lpstr>Tumortherapeutika und Immunther</vt:lpstr>
      <vt:lpstr>Atemwegserkrankungen</vt:lpstr>
      <vt:lpstr>Gastrointestinaltrakt</vt:lpstr>
      <vt:lpstr>Schmerztherapie</vt:lpstr>
      <vt:lpstr>Augenheilkunde</vt:lpstr>
      <vt:lpstr>Gynäkologika und Urologika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Susanne Hafner</dc:creator>
  <dc:description/>
  <cp:lastModifiedBy>Harder Fridtjof</cp:lastModifiedBy>
  <cp:revision>1524</cp:revision>
  <dcterms:created xsi:type="dcterms:W3CDTF">2020-12-04T20:28:39Z</dcterms:created>
  <dcterms:modified xsi:type="dcterms:W3CDTF">2025-10-02T13:05:05Z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